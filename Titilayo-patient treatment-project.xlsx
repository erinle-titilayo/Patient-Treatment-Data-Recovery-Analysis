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esktop\Greenware Fast Portfolio\PROJECT 2\"/>
    </mc:Choice>
  </mc:AlternateContent>
  <xr:revisionPtr revIDLastSave="0" documentId="13_ncr:1_{5C2808ED-E1CD-4BEE-B0A9-FD9C746A851E}" xr6:coauthVersionLast="47" xr6:coauthVersionMax="47" xr10:uidLastSave="{00000000-0000-0000-0000-000000000000}"/>
  <bookViews>
    <workbookView xWindow="-120" yWindow="-120" windowWidth="20730" windowHeight="11160" firstSheet="1" activeTab="7" xr2:uid="{00000000-000D-0000-FFFF-FFFF00000000}"/>
  </bookViews>
  <sheets>
    <sheet name="Sheet13" sheetId="15" state="hidden" r:id="rId1"/>
    <sheet name="Dataset" sheetId="1" r:id="rId2"/>
    <sheet name="Sheet3" sheetId="5" state="hidden" r:id="rId3"/>
    <sheet name="Sheet4" sheetId="6" state="hidden" r:id="rId4"/>
    <sheet name="Table2" sheetId="2" r:id="rId5"/>
    <sheet name="Sheet2" sheetId="4" r:id="rId6"/>
    <sheet name="Pivot Chart" sheetId="3" r:id="rId7"/>
    <sheet name="DASHBOARD" sheetId="24" r:id="rId8"/>
  </sheets>
  <definedNames>
    <definedName name="_xlnm._FilterDatabase" localSheetId="1" hidden="1">Dataset!$A$1:$I$201</definedName>
    <definedName name="_xlnm._FilterDatabase" localSheetId="6" hidden="1">'Pivot Chart'!$A$73:$B$81</definedName>
    <definedName name="_xlchart.v1.0" hidden="1">Sheet13!$A$19:$A$26</definedName>
    <definedName name="_xlchart.v1.1" hidden="1">Sheet13!$B$18</definedName>
    <definedName name="_xlchart.v1.2" hidden="1">Sheet13!$B$19:$B$26</definedName>
    <definedName name="_xlchart.v1.3" hidden="1">'Pivot Chart'!$A$74:$A$81</definedName>
    <definedName name="_xlchart.v1.4" hidden="1">'Pivot Chart'!$B$73</definedName>
    <definedName name="_xlchart.v1.5" hidden="1">'Pivot Chart'!$B$74:$B$81</definedName>
    <definedName name="_xlchart.v1.6" hidden="1">'Pivot Chart'!$A$74:$A$81</definedName>
    <definedName name="_xlchart.v1.7" hidden="1">'Pivot Chart'!$B$73</definedName>
    <definedName name="_xlchart.v1.8" hidden="1">'Pivot Chart'!$B$74:$B$81</definedName>
    <definedName name="ExternalData_1" localSheetId="4" hidden="1">Table2!$A$1:$I$201</definedName>
    <definedName name="Slicer_Department">#N/A</definedName>
    <definedName name="Slicer_Doctor_Name">#N/A</definedName>
    <definedName name="Slicer_Gender">#N/A</definedName>
    <definedName name="Slicer_Treatment_Typ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4" l="1"/>
  <c r="K2" i="4" a="1"/>
  <c r="K2" i="4" s="1"/>
  <c r="K3" i="4" a="1"/>
  <c r="K3" i="4" s="1"/>
  <c r="K4" i="4" a="1"/>
  <c r="K4" i="4" s="1"/>
  <c r="K5" i="4" a="1"/>
  <c r="K5" i="4"/>
  <c r="K6" i="4" a="1"/>
  <c r="K6" i="4"/>
  <c r="K7" i="4" a="1"/>
  <c r="K7" i="4" s="1"/>
  <c r="K8" i="4" a="1"/>
  <c r="K8" i="4"/>
  <c r="K9" i="4" a="1"/>
  <c r="K9" i="4" s="1"/>
  <c r="K10" i="4" a="1"/>
  <c r="K10" i="4" s="1"/>
  <c r="K11" i="4" a="1"/>
  <c r="K11" i="4"/>
  <c r="K12" i="4" a="1"/>
  <c r="K12" i="4"/>
  <c r="K13" i="4" a="1"/>
  <c r="K13" i="4"/>
  <c r="K14" i="4" a="1"/>
  <c r="K14" i="4"/>
  <c r="K15" i="4" a="1"/>
  <c r="K15" i="4" s="1"/>
  <c r="K16" i="4" a="1"/>
  <c r="K16" i="4" s="1"/>
  <c r="K17" i="4" a="1"/>
  <c r="K17" i="4" s="1"/>
  <c r="K18" i="4" a="1"/>
  <c r="K18" i="4" s="1"/>
  <c r="K19" i="4" a="1"/>
  <c r="K19" i="4"/>
  <c r="K20" i="4" a="1"/>
  <c r="K20" i="4"/>
  <c r="K21" i="4" a="1"/>
  <c r="K21" i="4" s="1"/>
  <c r="K22" i="4" a="1"/>
  <c r="K22" i="4" s="1"/>
  <c r="K23" i="4" a="1"/>
  <c r="K23" i="4"/>
  <c r="K24" i="4" a="1"/>
  <c r="K24" i="4" s="1"/>
  <c r="K25" i="4" a="1"/>
  <c r="K25" i="4" s="1"/>
  <c r="K26" i="4" a="1"/>
  <c r="K26" i="4" s="1"/>
  <c r="K27" i="4" a="1"/>
  <c r="K27" i="4" s="1"/>
  <c r="K28" i="4" a="1"/>
  <c r="K28" i="4" s="1"/>
  <c r="K29" i="4" a="1"/>
  <c r="K29" i="4" s="1"/>
  <c r="K30" i="4" a="1"/>
  <c r="K30" i="4"/>
  <c r="K31" i="4" a="1"/>
  <c r="K31" i="4" s="1"/>
  <c r="K32" i="4" a="1"/>
  <c r="K32" i="4" s="1"/>
  <c r="K33" i="4" a="1"/>
  <c r="K33" i="4" s="1"/>
  <c r="K34" i="4" a="1"/>
  <c r="K34" i="4" s="1"/>
  <c r="K35" i="4" a="1"/>
  <c r="K35" i="4" s="1"/>
  <c r="K36" i="4" a="1"/>
  <c r="K36" i="4" s="1"/>
  <c r="K37" i="4" a="1"/>
  <c r="K37" i="4" s="1"/>
  <c r="K38" i="4" a="1"/>
  <c r="K38" i="4" s="1"/>
  <c r="K39" i="4" a="1"/>
  <c r="K39" i="4" s="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2" description="Connection to the 'Table2' query in the workbook." type="5" refreshedVersion="7"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<sst xmlns="http://schemas.openxmlformats.org/spreadsheetml/2006/main" count="2645" uniqueCount="249">
  <si>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</si>
  <si>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</si>
  <si>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</si>
  <si>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</si>
  <si>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</si>
  <si>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</si>
  <si>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</si>
  <si>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</si>
  <si>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</si>
  <si>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</si>
  <si>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</si>
  <si>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</si>
  <si>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</si>
  <si>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</si>
  <si>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</si>
  <si>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</si>
  <si>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</si>
  <si>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</si>
  <si>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</si>
  <si>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</si>
  <si>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</si>
  <si>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</si>
  <si>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</si>
  <si>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</si>
  <si>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</si>
  <si>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</si>
  <si>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</si>
  <si>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</si>
  <si>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</si>
  <si>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</si>
  <si>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</si>
  <si>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</si>
  <si>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</si>
  <si>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</si>
  <si>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</si>
  <si>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</si>
  <si>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</si>
  <si>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</si>
  <si>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</si>
  <si>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</si>
  <si>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</si>
  <si>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</si>
  <si>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</si>
  <si>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</si>
  <si>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</si>
  <si>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</si>
  <si>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</si>
  <si>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</si>
  <si>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</si>
  <si>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</si>
  <si>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</si>
  <si>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</si>
  <si>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</si>
  <si>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</si>
  <si>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</si>
  <si>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</si>
  <si>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</si>
  <si>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</si>
  <si>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</si>
  <si>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</si>
  <si>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</si>
  <si>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</si>
  <si>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</si>
  <si>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</si>
  <si>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</si>
  <si>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</si>
  <si>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</si>
  <si>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</si>
  <si>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</si>
  <si>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</si>
  <si>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</si>
  <si>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</si>
  <si>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</si>
  <si>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</si>
  <si>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</si>
  <si>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</si>
  <si>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</si>
  <si>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</si>
  <si>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</si>
  <si>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</si>
  <si>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</si>
  <si>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</si>
  <si>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</si>
  <si>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</si>
  <si>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</si>
  <si>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</si>
  <si>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</si>
  <si>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</si>
  <si>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</si>
  <si>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</si>
  <si>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</si>
  <si>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</si>
  <si>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</si>
  <si>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</si>
  <si>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</si>
  <si>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</si>
  <si>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</si>
  <si>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</si>
  <si>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</si>
  <si>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</si>
  <si>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</si>
  <si>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</si>
  <si>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</si>
  <si>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</si>
  <si>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</si>
  <si>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</si>
  <si>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</si>
  <si>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</si>
  <si>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</si>
  <si>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</si>
  <si>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</si>
  <si>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</si>
  <si>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</si>
  <si>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</si>
  <si>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</si>
  <si>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</si>
  <si>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</si>
  <si>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</si>
  <si>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</si>
  <si>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</si>
  <si>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</si>
  <si>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</si>
  <si>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</si>
  <si>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</si>
  <si>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</si>
  <si>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</si>
  <si>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</si>
  <si>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</si>
  <si>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</si>
  <si>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</si>
  <si>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</si>
  <si>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</si>
  <si>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</si>
  <si>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</si>
  <si>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</si>
  <si>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</si>
  <si>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</si>
  <si>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</si>
  <si>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</si>
  <si>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</si>
  <si>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</si>
  <si>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</si>
  <si>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</si>
  <si>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</si>
  <si>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</si>
  <si>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</si>
  <si>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</si>
  <si>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</si>
  <si>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</si>
  <si>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</si>
  <si>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</si>
  <si>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</si>
  <si>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</si>
  <si>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</si>
  <si>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</si>
  <si>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</si>
  <si>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</si>
  <si>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</si>
  <si>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</si>
  <si>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</si>
  <si>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</si>
  <si>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</si>
  <si>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</si>
  <si>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</si>
  <si>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</si>
  <si>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</si>
  <si>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</si>
  <si>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</si>
  <si>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</si>
  <si>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</si>
  <si>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</si>
  <si>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</si>
  <si>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</si>
  <si>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</si>
  <si>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</si>
  <si>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</si>
  <si>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</si>
  <si>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</si>
  <si>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</si>
  <si>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</si>
  <si>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</si>
  <si>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</si>
  <si>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</si>
  <si>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</si>
  <si>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</si>
  <si>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</si>
  <si>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</si>
  <si>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</si>
  <si>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</si>
  <si>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</si>
  <si>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</si>
  <si>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</si>
  <si>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</si>
  <si>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</si>
  <si>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</si>
  <si>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</si>
  <si>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</si>
  <si>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</si>
  <si>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</si>
  <si>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</si>
  <si>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</si>
  <si>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</si>
  <si>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</si>
  <si>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</si>
  <si>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</si>
  <si>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</si>
  <si>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</si>
  <si>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</si>
  <si>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</si>
  <si>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</si>
  <si>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</si>
  <si>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</si>
  <si>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</si>
  <si>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</si>
  <si>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</si>
  <si>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</si>
  <si>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</si>
  <si>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</si>
  <si>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</si>
  <si>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</si>
  <si>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</si>
  <si>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</si>
  <si>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</si>
  <si>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</si>
  <si>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</si>
  <si>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</si>
  <si>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</si>
  <si>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Grand Total</t>
  </si>
  <si>
    <t>Average of Recovery Score</t>
  </si>
  <si>
    <t>Min of Recovery Score2</t>
  </si>
  <si>
    <t>StdDev of Recovery Score3</t>
  </si>
  <si>
    <t xml:space="preserve"> c  </t>
  </si>
  <si>
    <t>1Qa</t>
  </si>
  <si>
    <t>qqA</t>
  </si>
  <si>
    <t>q</t>
  </si>
  <si>
    <t>Treatment Cost Category</t>
  </si>
  <si>
    <t>Age Group Category</t>
  </si>
  <si>
    <t>Row Labels</t>
  </si>
  <si>
    <t>High Cost</t>
  </si>
  <si>
    <t>Low Cost</t>
  </si>
  <si>
    <t>Adult</t>
  </si>
  <si>
    <t>Child</t>
  </si>
  <si>
    <t>Infant/Toddler</t>
  </si>
  <si>
    <t>Middle-aged</t>
  </si>
  <si>
    <t>Senior</t>
  </si>
  <si>
    <t>Teenager</t>
  </si>
  <si>
    <t>Young Adult</t>
  </si>
  <si>
    <t>Elderly</t>
  </si>
  <si>
    <t>zz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</si>
</sst>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9"/>
      </font>
    </dxf>
    <dxf>
      <border>
        <left style="thin">
          <color rgb="FF00A864"/>
        </left>
        <right style="thin">
          <color rgb="FF00A864"/>
        </right>
        <top style="thin">
          <color rgb="FF00A864"/>
        </top>
        <bottom style="thin">
          <color rgb="FF00A864"/>
        </bottom>
      </border>
    </dxf>
    <dxf>
      <font>
        <sz val="9"/>
        <color theme="1"/>
        <name val="Calibri Light"/>
        <family val="2"/>
        <scheme val="major"/>
      </font>
    </dxf>
    <dxf>
      <font>
        <b/>
        <i val="0"/>
        <sz val="10"/>
        <color theme="1"/>
      </font>
    </dxf>
    <dxf>
      <fill>
        <patternFill>
          <bgColor rgb="FF006600"/>
        </patternFill>
      </fill>
    </dxf>
  </dxfs>
  <tableStyles count="7" defaultTableStyle="TableStyleMedium2" defaultPivotStyle="PivotStyleLight16">
    <tableStyle name="Slicer Style 1" pivot="0" table="0" count="1" xr9:uid="{4D7687DA-097F-4D96-B5DE-CB5774F90D30}">
      <tableStyleElement type="wholeTable" dxfId="11"/>
    </tableStyle>
    <tableStyle name="Slicer Style 2" pivot="0" table="0" count="1" xr9:uid="{6DE2C068-9668-4BAE-BCBF-6DDC4702622F}"/>
    <tableStyle name="Slicer Style 3" pivot="0" table="0" count="1" xr9:uid="{AEA1189A-B949-49E7-8ABA-125AD3E838AB}"/>
    <tableStyle name="Slicer Style 4" pivot="0" table="0" count="1" xr9:uid="{42A08CA5-B504-4CBA-A0B0-B4FE1AD4A19A}"/>
    <tableStyle name="Slicer Style 5" pivot="0" table="0" count="2" xr9:uid="{37A90A47-63AD-47D4-898E-12DE4B75811B}">
      <tableStyleElement type="headerRow" dxfId="10"/>
    </tableStyle>
    <tableStyle name="Slicer Style 6" pivot="0" table="0" count="3" xr9:uid="{E0A21660-88EA-4B6D-947D-097E1D49621A}">
      <tableStyleElement type="headerRow" dxfId="9"/>
    </tableStyle>
    <tableStyle name="Slicer Style 7" pivot="0" table="0" count="3" xr9:uid="{3A32D697-2996-453C-9D90-BC794EB112B0}">
      <tableStyleElement type="wholeTable" dxfId="8"/>
      <tableStyleElement type="headerRow" dxfId="7"/>
    </tableStyle>
  </tableStyles>
  <colors>
    <mruColors>
      <color rgb="FF00A864"/>
      <color rgb="FF006000"/>
      <color rgb="FF006600"/>
      <color rgb="FF008080"/>
      <color rgb="FF003300"/>
      <color rgb="FF99FFCC"/>
      <color rgb="FF33CCCC"/>
      <color rgb="FF007774"/>
      <color rgb="FF003F3E"/>
    </mruColors>
  </colors>
  <extLst>
    <ext xmlns:x14="http://schemas.microsoft.com/office/spreadsheetml/2009/9/main" uri="{46F421CA-312F-682f-3DD2-61675219B42D}">
      <x14:dxfs count="7">
        <dxf>
          <font>
            <b/>
            <i val="0"/>
            <sz val="8"/>
            <color theme="0"/>
            <name val="Calibri Light"/>
            <family val="2"/>
            <scheme val="major"/>
          </font>
          <fill>
            <patternFill>
              <bgColor rgb="FF006600"/>
            </patternFill>
          </fill>
          <border>
            <left style="thin">
              <color auto="1"/>
            </left>
            <right style="thin">
              <color auto="1"/>
            </right>
            <top style="thin">
              <color auto="1"/>
            </top>
            <bottom style="thin">
              <color auto="1"/>
            </bottom>
          </border>
        </dxf>
        <dxf>
          <font>
            <sz val="8"/>
            <color theme="0"/>
            <name val="Calibri"/>
            <family val="2"/>
            <scheme val="minor"/>
          </font>
        </dxf>
        <dxf>
          <fill>
            <patternFill>
              <bgColor rgb="FF006600"/>
            </patternFill>
          </fill>
        </dxf>
        <dxf>
          <font>
            <b/>
            <i val="0"/>
            <sz val="9"/>
            <color theme="0"/>
          </font>
        </dxf>
        <dxf>
          <font>
            <b/>
            <i val="0"/>
            <sz val="9"/>
            <color theme="0"/>
          </font>
        </dxf>
        <dxf>
          <font>
            <b/>
            <i val="0"/>
            <color theme="0"/>
          </font>
        </dxf>
        <dxf>
          <fill>
            <patternFill>
              <bgColor rgb="FF0066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6"/>
          </x14:slicerStyleElements>
        </x14:slicerStyle>
        <x14:slicerStyle name="Slicer Style 3">
          <x14:slicerStyleElements>
            <x14:slicerStyleElement type="selectedItemWithData" dxfId="5"/>
          </x14:slicerStyleElements>
        </x14:slicerStyle>
        <x14:slicerStyle name="Slicer Style 4">
          <x14:slicerStyleElements>
            <x14:slicerStyleElement type="unselectedItemWithData" dxfId="4"/>
          </x14:slicerStyleElements>
        </x14:slicerStyle>
        <x14:slicerStyle name="Slicer Style 5">
          <x14:slicerStyleElements>
            <x14:slicerStyleElement type="unselectedItemWithData" dxfId="3"/>
          </x14:slicerStyleElements>
        </x14:slicerStyle>
        <x14:slicerStyle name="Slicer Style 6">
          <x14:slicerStyleElements>
            <x14:slicerStyleElement type="selectedItemWithData" dxfId="2"/>
            <x14:slicerStyleElement type="selectedItemWithNoData" dxfId="1"/>
          </x14:slicerStyleElements>
        </x14:slicerStyle>
        <x14:slicerStyle name="Slicer Style 7">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treatment-project.xlsx]Sheet13!PivotTable10</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808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33CCCC"/>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Sheet13!$B$3</c:f>
              <c:strCache>
                <c:ptCount val="1"/>
                <c:pt idx="0">
                  <c:v>Total</c:v>
                </c:pt>
              </c:strCache>
            </c:strRef>
          </c:tx>
          <c:dPt>
            <c:idx val="0"/>
            <c:bubble3D val="0"/>
            <c:spPr>
              <a:solidFill>
                <a:srgbClr val="00808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1468-4EBD-B776-A1F81672360E}"/>
              </c:ext>
            </c:extLst>
          </c:dPt>
          <c:dPt>
            <c:idx val="1"/>
            <c:bubble3D val="0"/>
            <c:spPr>
              <a:solidFill>
                <a:srgbClr val="33CCC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468-4EBD-B776-A1F8167236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Sheet13!$A$4:$A$6</c:f>
              <c:strCache>
                <c:ptCount val="2"/>
                <c:pt idx="0">
                  <c:v>High Cost</c:v>
                </c:pt>
                <c:pt idx="1">
                  <c:v>Low Cost</c:v>
                </c:pt>
              </c:strCache>
            </c:strRef>
          </c:cat>
          <c:val>
            <c:numRef>
              <c:f>Sheet13!$B$4:$B$6</c:f>
              <c:numCache>
                <c:formatCode>General</c:formatCode>
                <c:ptCount val="2"/>
                <c:pt idx="0">
                  <c:v>73.55</c:v>
                </c:pt>
                <c:pt idx="1">
                  <c:v>72.666666666666671</c:v>
                </c:pt>
              </c:numCache>
            </c:numRef>
          </c:val>
          <c:extLst>
            <c:ext xmlns:c16="http://schemas.microsoft.com/office/drawing/2014/chart" uri="{C3380CC4-5D6E-409C-BE32-E72D297353CC}">
              <c16:uniqueId val="{00000000-1468-4EBD-B776-A1F81672360E}"/>
            </c:ext>
          </c:extLst>
        </c:ser>
        <c:dLbls>
          <c:dLblPos val="inEnd"/>
          <c:showLegendKey val="0"/>
          <c:showVal val="0"/>
          <c:showCatName val="0"/>
          <c:showSerName val="0"/>
          <c:showPercent val="1"/>
          <c:showBubbleSize val="0"/>
          <c:showLeaderLines val="1"/>
        </c:dLbls>
        <c:firstSliceAng val="5"/>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treatment-project.xlsx]Pivot Chart!PivotTable1</c:name>
    <c:fmtId val="5"/>
  </c:pivotSource>
  <c:chart>
    <c:autoTitleDeleted val="1"/>
    <c:pivotFmts>
      <c:pivotFmt>
        <c:idx val="0"/>
        <c:spPr>
          <a:solidFill>
            <a:srgbClr val="006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A86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FF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94475098343381"/>
          <c:y val="4.7347500910992456E-2"/>
          <c:w val="0.89241895810144156"/>
          <c:h val="0.67864169015915032"/>
        </c:manualLayout>
      </c:layout>
      <c:bar3DChart>
        <c:barDir val="col"/>
        <c:grouping val="clustered"/>
        <c:varyColors val="0"/>
        <c:ser>
          <c:idx val="0"/>
          <c:order val="0"/>
          <c:tx>
            <c:strRef>
              <c:f>'Pivot Chart'!$B$3</c:f>
              <c:strCache>
                <c:ptCount val="1"/>
                <c:pt idx="0">
                  <c:v>Average of Recovery Score</c:v>
                </c:pt>
              </c:strCache>
            </c:strRef>
          </c:tx>
          <c:spPr>
            <a:solidFill>
              <a:srgbClr val="006000"/>
            </a:solidFill>
            <a:ln>
              <a:noFill/>
            </a:ln>
            <a:effectLst/>
            <a:sp3d/>
          </c:spPr>
          <c:invertIfNegative val="0"/>
          <c:cat>
            <c:strRef>
              <c:f>'Pivot Chart'!$A$4:$A$10</c:f>
              <c:strCache>
                <c:ptCount val="6"/>
                <c:pt idx="0">
                  <c:v>Pediatrics</c:v>
                </c:pt>
                <c:pt idx="1">
                  <c:v>Orthopedics</c:v>
                </c:pt>
                <c:pt idx="2">
                  <c:v>Oncology</c:v>
                </c:pt>
                <c:pt idx="3">
                  <c:v>Neurology</c:v>
                </c:pt>
                <c:pt idx="4">
                  <c:v>Gastroenterology</c:v>
                </c:pt>
                <c:pt idx="5">
                  <c:v>Cardiology</c:v>
                </c:pt>
              </c:strCache>
            </c:strRef>
          </c:cat>
          <c:val>
            <c:numRef>
              <c:f>'Pivot Chart'!$B$4:$B$10</c:f>
              <c:numCache>
                <c:formatCode>General</c:formatCode>
                <c:ptCount val="6"/>
                <c:pt idx="0">
                  <c:v>73.131578947368425</c:v>
                </c:pt>
                <c:pt idx="1">
                  <c:v>67.263157894736835</c:v>
                </c:pt>
                <c:pt idx="2">
                  <c:v>72.41935483870968</c:v>
                </c:pt>
                <c:pt idx="3">
                  <c:v>66.392857142857139</c:v>
                </c:pt>
                <c:pt idx="4">
                  <c:v>71.804878048780495</c:v>
                </c:pt>
                <c:pt idx="5">
                  <c:v>70.5</c:v>
                </c:pt>
              </c:numCache>
            </c:numRef>
          </c:val>
          <c:shape val="cylinder"/>
          <c:extLst>
            <c:ext xmlns:c16="http://schemas.microsoft.com/office/drawing/2014/chart" uri="{C3380CC4-5D6E-409C-BE32-E72D297353CC}">
              <c16:uniqueId val="{00000000-E905-478E-9329-1B66F052C510}"/>
            </c:ext>
          </c:extLst>
        </c:ser>
        <c:ser>
          <c:idx val="1"/>
          <c:order val="1"/>
          <c:tx>
            <c:strRef>
              <c:f>'Pivot Chart'!$C$3</c:f>
              <c:strCache>
                <c:ptCount val="1"/>
                <c:pt idx="0">
                  <c:v>Min of Recovery Score2</c:v>
                </c:pt>
              </c:strCache>
            </c:strRef>
          </c:tx>
          <c:spPr>
            <a:solidFill>
              <a:srgbClr val="00A864"/>
            </a:solidFill>
            <a:ln>
              <a:noFill/>
            </a:ln>
            <a:effectLst/>
            <a:sp3d/>
          </c:spPr>
          <c:invertIfNegative val="0"/>
          <c:cat>
            <c:strRef>
              <c:f>'Pivot Chart'!$A$4:$A$10</c:f>
              <c:strCache>
                <c:ptCount val="6"/>
                <c:pt idx="0">
                  <c:v>Pediatrics</c:v>
                </c:pt>
                <c:pt idx="1">
                  <c:v>Orthopedics</c:v>
                </c:pt>
                <c:pt idx="2">
                  <c:v>Oncology</c:v>
                </c:pt>
                <c:pt idx="3">
                  <c:v>Neurology</c:v>
                </c:pt>
                <c:pt idx="4">
                  <c:v>Gastroenterology</c:v>
                </c:pt>
                <c:pt idx="5">
                  <c:v>Cardiology</c:v>
                </c:pt>
              </c:strCache>
            </c:strRef>
          </c:cat>
          <c:val>
            <c:numRef>
              <c:f>'Pivot Chart'!$C$4:$C$10</c:f>
              <c:numCache>
                <c:formatCode>General</c:formatCode>
                <c:ptCount val="6"/>
                <c:pt idx="0">
                  <c:v>42</c:v>
                </c:pt>
                <c:pt idx="1">
                  <c:v>40</c:v>
                </c:pt>
                <c:pt idx="2">
                  <c:v>41</c:v>
                </c:pt>
                <c:pt idx="3">
                  <c:v>40</c:v>
                </c:pt>
                <c:pt idx="4">
                  <c:v>40</c:v>
                </c:pt>
                <c:pt idx="5">
                  <c:v>41</c:v>
                </c:pt>
              </c:numCache>
            </c:numRef>
          </c:val>
          <c:shape val="cylinder"/>
          <c:extLst>
            <c:ext xmlns:c16="http://schemas.microsoft.com/office/drawing/2014/chart" uri="{C3380CC4-5D6E-409C-BE32-E72D297353CC}">
              <c16:uniqueId val="{00000002-E905-478E-9329-1B66F052C510}"/>
            </c:ext>
          </c:extLst>
        </c:ser>
        <c:ser>
          <c:idx val="2"/>
          <c:order val="2"/>
          <c:tx>
            <c:strRef>
              <c:f>'Pivot Chart'!$D$3</c:f>
              <c:strCache>
                <c:ptCount val="1"/>
                <c:pt idx="0">
                  <c:v>StdDev of Recovery Score3</c:v>
                </c:pt>
              </c:strCache>
            </c:strRef>
          </c:tx>
          <c:spPr>
            <a:solidFill>
              <a:srgbClr val="99FFCC"/>
            </a:solidFill>
            <a:ln>
              <a:noFill/>
            </a:ln>
            <a:effectLst/>
            <a:sp3d/>
          </c:spPr>
          <c:invertIfNegative val="0"/>
          <c:cat>
            <c:strRef>
              <c:f>'Pivot Chart'!$A$4:$A$10</c:f>
              <c:strCache>
                <c:ptCount val="6"/>
                <c:pt idx="0">
                  <c:v>Pediatrics</c:v>
                </c:pt>
                <c:pt idx="1">
                  <c:v>Orthopedics</c:v>
                </c:pt>
                <c:pt idx="2">
                  <c:v>Oncology</c:v>
                </c:pt>
                <c:pt idx="3">
                  <c:v>Neurology</c:v>
                </c:pt>
                <c:pt idx="4">
                  <c:v>Gastroenterology</c:v>
                </c:pt>
                <c:pt idx="5">
                  <c:v>Cardiology</c:v>
                </c:pt>
              </c:strCache>
            </c:strRef>
          </c:cat>
          <c:val>
            <c:numRef>
              <c:f>'Pivot Chart'!$D$4:$D$10</c:f>
              <c:numCache>
                <c:formatCode>General</c:formatCode>
                <c:ptCount val="6"/>
                <c:pt idx="0">
                  <c:v>17.727930402572756</c:v>
                </c:pt>
                <c:pt idx="1">
                  <c:v>16.439379567641545</c:v>
                </c:pt>
                <c:pt idx="2">
                  <c:v>17.819042610923095</c:v>
                </c:pt>
                <c:pt idx="3">
                  <c:v>19.085265376655212</c:v>
                </c:pt>
                <c:pt idx="4">
                  <c:v>16.895590419093264</c:v>
                </c:pt>
                <c:pt idx="5">
                  <c:v>19.571496576932219</c:v>
                </c:pt>
              </c:numCache>
            </c:numRef>
          </c:val>
          <c:shape val="cylinder"/>
          <c:extLst>
            <c:ext xmlns:c16="http://schemas.microsoft.com/office/drawing/2014/chart" uri="{C3380CC4-5D6E-409C-BE32-E72D297353CC}">
              <c16:uniqueId val="{00000003-E905-478E-9329-1B66F052C510}"/>
            </c:ext>
          </c:extLst>
        </c:ser>
        <c:dLbls>
          <c:showLegendKey val="0"/>
          <c:showVal val="0"/>
          <c:showCatName val="0"/>
          <c:showSerName val="0"/>
          <c:showPercent val="0"/>
          <c:showBubbleSize val="0"/>
        </c:dLbls>
        <c:gapWidth val="150"/>
        <c:shape val="box"/>
        <c:axId val="2050475472"/>
        <c:axId val="2050463824"/>
        <c:axId val="0"/>
      </c:bar3DChart>
      <c:catAx>
        <c:axId val="2050475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7774"/>
                </a:solidFill>
                <a:latin typeface="+mn-lt"/>
                <a:ea typeface="+mn-ea"/>
                <a:cs typeface="+mn-cs"/>
              </a:defRPr>
            </a:pPr>
            <a:endParaRPr lang="en-US"/>
          </a:p>
        </c:txPr>
        <c:crossAx val="2050463824"/>
        <c:crosses val="autoZero"/>
        <c:auto val="1"/>
        <c:lblAlgn val="ctr"/>
        <c:lblOffset val="100"/>
        <c:noMultiLvlLbl val="0"/>
      </c:catAx>
      <c:valAx>
        <c:axId val="2050463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7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treatment-project.xlsx]Pivot Chart!PivotTable3</c:name>
    <c:fmtId val="6"/>
  </c:pivotSource>
  <c:chart>
    <c:autoTitleDeleted val="1"/>
    <c:pivotFmts>
      <c:pivotFmt>
        <c:idx val="0"/>
        <c:spPr>
          <a:solidFill>
            <a:srgbClr val="006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cene3d>
          <a:camera prst="orthographicFront"/>
          <a:lightRig rig="threePt" dir="t"/>
        </a:scene3d>
        <a:sp3d>
          <a:bevelB h="12700"/>
        </a:sp3d>
      </c:spPr>
    </c:sideWall>
    <c:backWall>
      <c:thickness val="0"/>
      <c:spPr>
        <a:noFill/>
        <a:ln>
          <a:noFill/>
        </a:ln>
        <a:effectLst/>
        <a:scene3d>
          <a:camera prst="orthographicFront"/>
          <a:lightRig rig="threePt" dir="t"/>
        </a:scene3d>
        <a:sp3d>
          <a:bevelB h="12700"/>
        </a:sp3d>
      </c:spPr>
    </c:backWall>
    <c:plotArea>
      <c:layout>
        <c:manualLayout>
          <c:layoutTarget val="inner"/>
          <c:xMode val="edge"/>
          <c:yMode val="edge"/>
          <c:x val="0.27720309169100343"/>
          <c:y val="0.25636899554222387"/>
          <c:w val="0.46770559930008748"/>
          <c:h val="0.6293157626130067"/>
        </c:manualLayout>
      </c:layout>
      <c:bar3DChart>
        <c:barDir val="bar"/>
        <c:grouping val="clustered"/>
        <c:varyColors val="0"/>
        <c:ser>
          <c:idx val="0"/>
          <c:order val="0"/>
          <c:tx>
            <c:strRef>
              <c:f>'Pivot Chart'!$B$17</c:f>
              <c:strCache>
                <c:ptCount val="1"/>
                <c:pt idx="0">
                  <c:v>Total</c:v>
                </c:pt>
              </c:strCache>
            </c:strRef>
          </c:tx>
          <c:spPr>
            <a:solidFill>
              <a:srgbClr val="006000"/>
            </a:solidFill>
            <a:ln>
              <a:noFill/>
            </a:ln>
            <a:effectLst/>
            <a:sp3d/>
          </c:spPr>
          <c:invertIfNegative val="0"/>
          <c:cat>
            <c:strRef>
              <c:f>'Pivot Chart'!$A$18:$A$23</c:f>
              <c:strCache>
                <c:ptCount val="5"/>
                <c:pt idx="0">
                  <c:v>Dr. A. Sharma</c:v>
                </c:pt>
                <c:pt idx="1">
                  <c:v>Dr. L. Khan</c:v>
                </c:pt>
                <c:pt idx="2">
                  <c:v>Dr. M. Patel</c:v>
                </c:pt>
                <c:pt idx="3">
                  <c:v>Dr. R. Singh</c:v>
                </c:pt>
                <c:pt idx="4">
                  <c:v>Dr. T. Mehta</c:v>
                </c:pt>
              </c:strCache>
            </c:strRef>
          </c:cat>
          <c:val>
            <c:numRef>
              <c:f>'Pivot Chart'!$B$18:$B$23</c:f>
              <c:numCache>
                <c:formatCode>General</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0-8D66-4C8C-BDFB-EE9E9271CE51}"/>
            </c:ext>
          </c:extLst>
        </c:ser>
        <c:dLbls>
          <c:showLegendKey val="0"/>
          <c:showVal val="0"/>
          <c:showCatName val="0"/>
          <c:showSerName val="0"/>
          <c:showPercent val="0"/>
          <c:showBubbleSize val="0"/>
        </c:dLbls>
        <c:gapWidth val="150"/>
        <c:shape val="box"/>
        <c:axId val="2050486704"/>
        <c:axId val="2050500016"/>
        <c:axId val="0"/>
      </c:bar3DChart>
      <c:catAx>
        <c:axId val="2050486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500016"/>
        <c:crosses val="autoZero"/>
        <c:auto val="1"/>
        <c:lblAlgn val="ctr"/>
        <c:lblOffset val="100"/>
        <c:noMultiLvlLbl val="0"/>
      </c:catAx>
      <c:valAx>
        <c:axId val="2050500016"/>
        <c:scaling>
          <c:orientation val="minMax"/>
          <c:max val="75"/>
          <c:min val="6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180" b="0" i="0" u="none" strike="noStrike" kern="1200" baseline="0">
                <a:solidFill>
                  <a:schemeClr val="tx1">
                    <a:lumMod val="65000"/>
                    <a:lumOff val="35000"/>
                  </a:schemeClr>
                </a:solidFill>
                <a:latin typeface="+mn-lt"/>
                <a:ea typeface="+mn-ea"/>
                <a:cs typeface="+mn-cs"/>
              </a:defRPr>
            </a:pPr>
            <a:endParaRPr lang="en-US"/>
          </a:p>
        </c:txPr>
        <c:crossAx val="205048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treatment-project.xlsx]Pivot Chart!PivotTable4</c:name>
    <c:fmtId val="7"/>
  </c:pivotSource>
  <c:chart>
    <c:autoTitleDeleted val="1"/>
    <c:pivotFmts>
      <c:pivotFmt>
        <c:idx val="0"/>
        <c:spPr>
          <a:solidFill>
            <a:schemeClr val="accent1"/>
          </a:solidFill>
          <a:ln w="6350" cap="rnd">
            <a:solidFill>
              <a:srgbClr val="0080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4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3300"/>
          </a:solidFill>
          <a:ln w="6350" cap="rnd">
            <a:solidFill>
              <a:srgbClr val="008080"/>
            </a:solidFill>
            <a:round/>
          </a:ln>
          <a:effectLst/>
        </c:spPr>
      </c:pivotFmt>
      <c:pivotFmt>
        <c:idx val="2"/>
        <c:spPr>
          <a:solidFill>
            <a:srgbClr val="00A864"/>
          </a:solidFill>
          <a:ln w="6350" cap="rnd">
            <a:solidFill>
              <a:srgbClr val="008080"/>
            </a:solidFill>
            <a:round/>
          </a:ln>
          <a:effectLst/>
        </c:spPr>
      </c:pivotFmt>
      <c:pivotFmt>
        <c:idx val="3"/>
        <c:spPr>
          <a:solidFill>
            <a:srgbClr val="99FFCC"/>
          </a:solidFill>
          <a:ln w="6350" cap="rnd">
            <a:solidFill>
              <a:srgbClr val="008080"/>
            </a:solidFill>
            <a:round/>
          </a:ln>
          <a:effectLst/>
        </c:spPr>
      </c:pivotFmt>
    </c:pivotFmts>
    <c:plotArea>
      <c:layout>
        <c:manualLayout>
          <c:layoutTarget val="inner"/>
          <c:xMode val="edge"/>
          <c:yMode val="edge"/>
          <c:x val="0.12880418610094121"/>
          <c:y val="0.20513581941128067"/>
          <c:w val="0.54318647805785769"/>
          <c:h val="0.80303448967053193"/>
        </c:manualLayout>
      </c:layout>
      <c:doughnutChart>
        <c:varyColors val="1"/>
        <c:ser>
          <c:idx val="0"/>
          <c:order val="0"/>
          <c:tx>
            <c:strRef>
              <c:f>'Pivot Chart'!$B$31</c:f>
              <c:strCache>
                <c:ptCount val="1"/>
                <c:pt idx="0">
                  <c:v>Total</c:v>
                </c:pt>
              </c:strCache>
            </c:strRef>
          </c:tx>
          <c:spPr>
            <a:ln w="6350" cap="rnd">
              <a:solidFill>
                <a:srgbClr val="008080"/>
              </a:solidFill>
              <a:round/>
            </a:ln>
          </c:spPr>
          <c:explosion val="1"/>
          <c:dPt>
            <c:idx val="0"/>
            <c:bubble3D val="0"/>
            <c:spPr>
              <a:solidFill>
                <a:srgbClr val="003300"/>
              </a:solidFill>
              <a:ln w="6350" cap="rnd">
                <a:solidFill>
                  <a:srgbClr val="008080"/>
                </a:solidFill>
                <a:round/>
              </a:ln>
              <a:effectLst/>
            </c:spPr>
            <c:extLst>
              <c:ext xmlns:c16="http://schemas.microsoft.com/office/drawing/2014/chart" uri="{C3380CC4-5D6E-409C-BE32-E72D297353CC}">
                <c16:uniqueId val="{00000002-4BB5-43FE-A1F6-AC0650729A6D}"/>
              </c:ext>
            </c:extLst>
          </c:dPt>
          <c:dPt>
            <c:idx val="1"/>
            <c:bubble3D val="0"/>
            <c:spPr>
              <a:solidFill>
                <a:srgbClr val="00A864"/>
              </a:solidFill>
              <a:ln w="6350" cap="rnd">
                <a:solidFill>
                  <a:srgbClr val="008080"/>
                </a:solidFill>
                <a:round/>
              </a:ln>
              <a:effectLst/>
            </c:spPr>
            <c:extLst>
              <c:ext xmlns:c16="http://schemas.microsoft.com/office/drawing/2014/chart" uri="{C3380CC4-5D6E-409C-BE32-E72D297353CC}">
                <c16:uniqueId val="{00000003-4BB5-43FE-A1F6-AC0650729A6D}"/>
              </c:ext>
            </c:extLst>
          </c:dPt>
          <c:dPt>
            <c:idx val="2"/>
            <c:bubble3D val="0"/>
            <c:spPr>
              <a:solidFill>
                <a:srgbClr val="99FFCC"/>
              </a:solidFill>
              <a:ln w="6350" cap="rnd">
                <a:solidFill>
                  <a:srgbClr val="008080"/>
                </a:solidFill>
                <a:round/>
              </a:ln>
              <a:effectLst/>
            </c:spPr>
            <c:extLst>
              <c:ext xmlns:c16="http://schemas.microsoft.com/office/drawing/2014/chart" uri="{C3380CC4-5D6E-409C-BE32-E72D297353CC}">
                <c16:uniqueId val="{00000004-4BB5-43FE-A1F6-AC0650729A6D}"/>
              </c:ext>
            </c:extLst>
          </c:dPt>
          <c:dLbls>
            <c:spPr>
              <a:noFill/>
              <a:ln>
                <a:noFill/>
              </a:ln>
              <a:effectLst/>
            </c:spPr>
            <c:txPr>
              <a:bodyPr rot="0" spcFirstLastPara="1" vertOverflow="ellipsis" vert="horz" wrap="square" lIns="38100" tIns="19050" rIns="38100" bIns="19050" anchor="ctr" anchorCtr="1">
                <a:spAutoFit/>
              </a:bodyPr>
              <a:lstStyle/>
              <a:p>
                <a:pPr>
                  <a:defRPr sz="94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Chart'!$A$32:$A$35</c:f>
              <c:strCache>
                <c:ptCount val="3"/>
                <c:pt idx="0">
                  <c:v>Female</c:v>
                </c:pt>
                <c:pt idx="1">
                  <c:v>Male</c:v>
                </c:pt>
                <c:pt idx="2">
                  <c:v>Other</c:v>
                </c:pt>
              </c:strCache>
            </c:strRef>
          </c:cat>
          <c:val>
            <c:numRef>
              <c:f>'Pivot Chart'!$B$32:$B$35</c:f>
              <c:numCache>
                <c:formatCode>General</c:formatCode>
                <c:ptCount val="3"/>
                <c:pt idx="0">
                  <c:v>71.614035087719301</c:v>
                </c:pt>
                <c:pt idx="1">
                  <c:v>72.283950617283949</c:v>
                </c:pt>
                <c:pt idx="2">
                  <c:v>66.741935483870961</c:v>
                </c:pt>
              </c:numCache>
            </c:numRef>
          </c:val>
          <c:extLst>
            <c:ext xmlns:c16="http://schemas.microsoft.com/office/drawing/2014/chart" uri="{C3380CC4-5D6E-409C-BE32-E72D297353CC}">
              <c16:uniqueId val="{00000000-4BB5-43FE-A1F6-AC0650729A6D}"/>
            </c:ext>
          </c:extLst>
        </c:ser>
        <c:dLbls>
          <c:showLegendKey val="0"/>
          <c:showVal val="0"/>
          <c:showCatName val="0"/>
          <c:showSerName val="0"/>
          <c:showPercent val="0"/>
          <c:showBubbleSize val="0"/>
          <c:showLeaderLines val="1"/>
        </c:dLbls>
        <c:firstSliceAng val="5"/>
        <c:holeSize val="6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treatment-project.xlsx]Pivot Chart!PivotTable5</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Recovery Score by Treatment Type</a:t>
            </a:r>
            <a:endParaRPr lang="en-US" b="1"/>
          </a:p>
        </c:rich>
      </c:tx>
      <c:layout>
        <c:manualLayout>
          <c:xMode val="edge"/>
          <c:yMode val="edge"/>
          <c:x val="0.20881968388482905"/>
          <c:y val="0.10826032209595159"/>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6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000"/>
          </a:solidFill>
          <a:ln w="0" cmpd="dbl">
            <a:solidFill>
              <a:srgbClr val="0070C0"/>
            </a:solidFill>
          </a:ln>
          <a:effectLst/>
        </c:spPr>
      </c:pivotFmt>
    </c:pivotFmts>
    <c:plotArea>
      <c:layout>
        <c:manualLayout>
          <c:layoutTarget val="inner"/>
          <c:xMode val="edge"/>
          <c:yMode val="edge"/>
          <c:x val="0.17827335412024065"/>
          <c:y val="0.24159907836539482"/>
          <c:w val="0.67369474854424083"/>
          <c:h val="0.69233269580767354"/>
        </c:manualLayout>
      </c:layout>
      <c:barChart>
        <c:barDir val="bar"/>
        <c:grouping val="clustered"/>
        <c:varyColors val="0"/>
        <c:ser>
          <c:idx val="0"/>
          <c:order val="0"/>
          <c:tx>
            <c:strRef>
              <c:f>'Pivot Chart'!$B$40</c:f>
              <c:strCache>
                <c:ptCount val="1"/>
                <c:pt idx="0">
                  <c:v>Total</c:v>
                </c:pt>
              </c:strCache>
            </c:strRef>
          </c:tx>
          <c:spPr>
            <a:solidFill>
              <a:srgbClr val="006000"/>
            </a:solidFill>
            <a:ln>
              <a:noFill/>
            </a:ln>
            <a:effectLst/>
          </c:spPr>
          <c:invertIfNegative val="0"/>
          <c:dPt>
            <c:idx val="2"/>
            <c:invertIfNegative val="0"/>
            <c:bubble3D val="0"/>
            <c:spPr>
              <a:solidFill>
                <a:srgbClr val="006000"/>
              </a:solidFill>
              <a:ln w="0" cmpd="dbl">
                <a:solidFill>
                  <a:srgbClr val="0070C0"/>
                </a:solidFill>
              </a:ln>
              <a:effectLst/>
            </c:spPr>
            <c:extLst>
              <c:ext xmlns:c16="http://schemas.microsoft.com/office/drawing/2014/chart" uri="{C3380CC4-5D6E-409C-BE32-E72D297353CC}">
                <c16:uniqueId val="{00000002-DBE3-46D3-A6B9-991A3D17B260}"/>
              </c:ext>
            </c:extLst>
          </c:dPt>
          <c:cat>
            <c:strRef>
              <c:f>'Pivot Chart'!$A$41:$A$45</c:f>
              <c:strCache>
                <c:ptCount val="4"/>
                <c:pt idx="0">
                  <c:v>Therapy</c:v>
                </c:pt>
                <c:pt idx="1">
                  <c:v>Surgery</c:v>
                </c:pt>
                <c:pt idx="2">
                  <c:v>Observation</c:v>
                </c:pt>
                <c:pt idx="3">
                  <c:v>Medication</c:v>
                </c:pt>
              </c:strCache>
            </c:strRef>
          </c:cat>
          <c:val>
            <c:numRef>
              <c:f>'Pivot Chart'!$B$41:$B$45</c:f>
              <c:numCache>
                <c:formatCode>General</c:formatCode>
                <c:ptCount val="4"/>
                <c:pt idx="0">
                  <c:v>70.98</c:v>
                </c:pt>
                <c:pt idx="1">
                  <c:v>73.291666666666671</c:v>
                </c:pt>
                <c:pt idx="2">
                  <c:v>70.021276595744681</c:v>
                </c:pt>
                <c:pt idx="3">
                  <c:v>67.581818181818178</c:v>
                </c:pt>
              </c:numCache>
            </c:numRef>
          </c:val>
          <c:extLst>
            <c:ext xmlns:c16="http://schemas.microsoft.com/office/drawing/2014/chart" uri="{C3380CC4-5D6E-409C-BE32-E72D297353CC}">
              <c16:uniqueId val="{00000000-DBE3-46D3-A6B9-991A3D17B260}"/>
            </c:ext>
          </c:extLst>
        </c:ser>
        <c:dLbls>
          <c:showLegendKey val="0"/>
          <c:showVal val="0"/>
          <c:showCatName val="0"/>
          <c:showSerName val="0"/>
          <c:showPercent val="0"/>
          <c:showBubbleSize val="0"/>
        </c:dLbls>
        <c:gapWidth val="9"/>
        <c:overlap val="30"/>
        <c:axId val="133147471"/>
        <c:axId val="133132495"/>
      </c:barChart>
      <c:catAx>
        <c:axId val="133147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32495"/>
        <c:crosses val="autoZero"/>
        <c:auto val="1"/>
        <c:lblAlgn val="ctr"/>
        <c:lblOffset val="100"/>
        <c:noMultiLvlLbl val="0"/>
      </c:catAx>
      <c:valAx>
        <c:axId val="133132495"/>
        <c:scaling>
          <c:orientation val="minMax"/>
        </c:scaling>
        <c:delete val="1"/>
        <c:axPos val="b"/>
        <c:numFmt formatCode="General" sourceLinked="1"/>
        <c:majorTickMark val="out"/>
        <c:minorTickMark val="none"/>
        <c:tickLblPos val="nextTo"/>
        <c:crossAx val="133147471"/>
        <c:crosses val="autoZero"/>
        <c:crossBetween val="between"/>
      </c:valAx>
      <c:spPr>
        <a:noFill/>
        <a:ln cmpd="dbl">
          <a:solidFill>
            <a:srgbClr val="0070C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treatment-project.xlsx]Sheet13!PivotTable10</c:name>
    <c:fmtId val="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808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33CCCC"/>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008080"/>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33CCCC"/>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00A864"/>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600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0A864"/>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Sheet13!$B$3</c:f>
              <c:strCache>
                <c:ptCount val="1"/>
                <c:pt idx="0">
                  <c:v>Total</c:v>
                </c:pt>
              </c:strCache>
            </c:strRef>
          </c:tx>
          <c:spPr>
            <a:solidFill>
              <a:srgbClr val="00A864"/>
            </a:solidFill>
          </c:spPr>
          <c:dPt>
            <c:idx val="0"/>
            <c:bubble3D val="0"/>
            <c:spPr>
              <a:solidFill>
                <a:srgbClr val="006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2F6-4233-9BEF-83F748AEC053}"/>
              </c:ext>
            </c:extLst>
          </c:dPt>
          <c:dPt>
            <c:idx val="1"/>
            <c:bubble3D val="0"/>
            <c:spPr>
              <a:solidFill>
                <a:srgbClr val="00A86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2F6-4233-9BEF-83F748AEC053}"/>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Sheet13!$A$4:$A$6</c:f>
              <c:strCache>
                <c:ptCount val="2"/>
                <c:pt idx="0">
                  <c:v>High Cost</c:v>
                </c:pt>
                <c:pt idx="1">
                  <c:v>Low Cost</c:v>
                </c:pt>
              </c:strCache>
            </c:strRef>
          </c:cat>
          <c:val>
            <c:numRef>
              <c:f>Sheet13!$B$4:$B$6</c:f>
              <c:numCache>
                <c:formatCode>General</c:formatCode>
                <c:ptCount val="2"/>
                <c:pt idx="0">
                  <c:v>73.55</c:v>
                </c:pt>
                <c:pt idx="1">
                  <c:v>72.666666666666671</c:v>
                </c:pt>
              </c:numCache>
            </c:numRef>
          </c:val>
          <c:extLst>
            <c:ext xmlns:c16="http://schemas.microsoft.com/office/drawing/2014/chart" uri="{C3380CC4-5D6E-409C-BE32-E72D297353CC}">
              <c16:uniqueId val="{00000004-32F6-4233-9BEF-83F748AEC053}"/>
            </c:ext>
          </c:extLst>
        </c:ser>
        <c:dLbls>
          <c:dLblPos val="inEnd"/>
          <c:showLegendKey val="0"/>
          <c:showVal val="0"/>
          <c:showCatName val="0"/>
          <c:showSerName val="0"/>
          <c:showPercent val="1"/>
          <c:showBubbleSize val="0"/>
          <c:showLeaderLines val="1"/>
        </c:dLbls>
        <c:firstSliceAng val="5"/>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treatment-project.xlsx]Pivot Chart!PivotTable1</c:name>
    <c:fmtId val="10"/>
  </c:pivotSource>
  <c:chart>
    <c:autoTitleDeleted val="1"/>
    <c:pivotFmts>
      <c:pivotFmt>
        <c:idx val="0"/>
        <c:spPr>
          <a:solidFill>
            <a:srgbClr val="006000"/>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A864"/>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FFCC"/>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rgbClr val="006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A86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9FF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6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A86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9FF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77166698979361"/>
          <c:y val="0.13934354787749811"/>
          <c:w val="0.81278956419463777"/>
          <c:h val="0.50228864863687039"/>
        </c:manualLayout>
      </c:layout>
      <c:bar3DChart>
        <c:barDir val="col"/>
        <c:grouping val="clustered"/>
        <c:varyColors val="0"/>
        <c:ser>
          <c:idx val="0"/>
          <c:order val="0"/>
          <c:tx>
            <c:strRef>
              <c:f>'Pivot Chart'!$B$3</c:f>
              <c:strCache>
                <c:ptCount val="1"/>
                <c:pt idx="0">
                  <c:v>Average of Recovery Score</c:v>
                </c:pt>
              </c:strCache>
            </c:strRef>
          </c:tx>
          <c:spPr>
            <a:solidFill>
              <a:srgbClr val="006000"/>
            </a:solidFill>
            <a:ln>
              <a:noFill/>
            </a:ln>
            <a:effectLst/>
            <a:sp3d/>
          </c:spPr>
          <c:invertIfNegative val="0"/>
          <c:cat>
            <c:strRef>
              <c:f>'Pivot Chart'!$A$4:$A$10</c:f>
              <c:strCache>
                <c:ptCount val="6"/>
                <c:pt idx="0">
                  <c:v>Pediatrics</c:v>
                </c:pt>
                <c:pt idx="1">
                  <c:v>Orthopedics</c:v>
                </c:pt>
                <c:pt idx="2">
                  <c:v>Oncology</c:v>
                </c:pt>
                <c:pt idx="3">
                  <c:v>Neurology</c:v>
                </c:pt>
                <c:pt idx="4">
                  <c:v>Gastroenterology</c:v>
                </c:pt>
                <c:pt idx="5">
                  <c:v>Cardiology</c:v>
                </c:pt>
              </c:strCache>
            </c:strRef>
          </c:cat>
          <c:val>
            <c:numRef>
              <c:f>'Pivot Chart'!$B$4:$B$10</c:f>
              <c:numCache>
                <c:formatCode>General</c:formatCode>
                <c:ptCount val="6"/>
                <c:pt idx="0">
                  <c:v>73.131578947368425</c:v>
                </c:pt>
                <c:pt idx="1">
                  <c:v>67.263157894736835</c:v>
                </c:pt>
                <c:pt idx="2">
                  <c:v>72.41935483870968</c:v>
                </c:pt>
                <c:pt idx="3">
                  <c:v>66.392857142857139</c:v>
                </c:pt>
                <c:pt idx="4">
                  <c:v>71.804878048780495</c:v>
                </c:pt>
                <c:pt idx="5">
                  <c:v>70.5</c:v>
                </c:pt>
              </c:numCache>
            </c:numRef>
          </c:val>
          <c:shape val="cylinder"/>
          <c:extLst>
            <c:ext xmlns:c16="http://schemas.microsoft.com/office/drawing/2014/chart" uri="{C3380CC4-5D6E-409C-BE32-E72D297353CC}">
              <c16:uniqueId val="{00000000-1D04-4118-9530-20F7CEEA160F}"/>
            </c:ext>
          </c:extLst>
        </c:ser>
        <c:ser>
          <c:idx val="1"/>
          <c:order val="1"/>
          <c:tx>
            <c:strRef>
              <c:f>'Pivot Chart'!$C$3</c:f>
              <c:strCache>
                <c:ptCount val="1"/>
                <c:pt idx="0">
                  <c:v>Min of Recovery Score2</c:v>
                </c:pt>
              </c:strCache>
            </c:strRef>
          </c:tx>
          <c:spPr>
            <a:solidFill>
              <a:srgbClr val="00A864"/>
            </a:solidFill>
            <a:ln>
              <a:noFill/>
            </a:ln>
            <a:effectLst/>
            <a:sp3d/>
          </c:spPr>
          <c:invertIfNegative val="0"/>
          <c:cat>
            <c:strRef>
              <c:f>'Pivot Chart'!$A$4:$A$10</c:f>
              <c:strCache>
                <c:ptCount val="6"/>
                <c:pt idx="0">
                  <c:v>Pediatrics</c:v>
                </c:pt>
                <c:pt idx="1">
                  <c:v>Orthopedics</c:v>
                </c:pt>
                <c:pt idx="2">
                  <c:v>Oncology</c:v>
                </c:pt>
                <c:pt idx="3">
                  <c:v>Neurology</c:v>
                </c:pt>
                <c:pt idx="4">
                  <c:v>Gastroenterology</c:v>
                </c:pt>
                <c:pt idx="5">
                  <c:v>Cardiology</c:v>
                </c:pt>
              </c:strCache>
            </c:strRef>
          </c:cat>
          <c:val>
            <c:numRef>
              <c:f>'Pivot Chart'!$C$4:$C$10</c:f>
              <c:numCache>
                <c:formatCode>General</c:formatCode>
                <c:ptCount val="6"/>
                <c:pt idx="0">
                  <c:v>42</c:v>
                </c:pt>
                <c:pt idx="1">
                  <c:v>40</c:v>
                </c:pt>
                <c:pt idx="2">
                  <c:v>41</c:v>
                </c:pt>
                <c:pt idx="3">
                  <c:v>40</c:v>
                </c:pt>
                <c:pt idx="4">
                  <c:v>40</c:v>
                </c:pt>
                <c:pt idx="5">
                  <c:v>41</c:v>
                </c:pt>
              </c:numCache>
            </c:numRef>
          </c:val>
          <c:shape val="cylinder"/>
          <c:extLst>
            <c:ext xmlns:c16="http://schemas.microsoft.com/office/drawing/2014/chart" uri="{C3380CC4-5D6E-409C-BE32-E72D297353CC}">
              <c16:uniqueId val="{00000001-1D04-4118-9530-20F7CEEA160F}"/>
            </c:ext>
          </c:extLst>
        </c:ser>
        <c:ser>
          <c:idx val="2"/>
          <c:order val="2"/>
          <c:tx>
            <c:strRef>
              <c:f>'Pivot Chart'!$D$3</c:f>
              <c:strCache>
                <c:ptCount val="1"/>
                <c:pt idx="0">
                  <c:v>StdDev of Recovery Score3</c:v>
                </c:pt>
              </c:strCache>
            </c:strRef>
          </c:tx>
          <c:spPr>
            <a:solidFill>
              <a:srgbClr val="99FFCC"/>
            </a:solidFill>
            <a:ln>
              <a:noFill/>
            </a:ln>
            <a:effectLst/>
            <a:sp3d/>
          </c:spPr>
          <c:invertIfNegative val="0"/>
          <c:cat>
            <c:strRef>
              <c:f>'Pivot Chart'!$A$4:$A$10</c:f>
              <c:strCache>
                <c:ptCount val="6"/>
                <c:pt idx="0">
                  <c:v>Pediatrics</c:v>
                </c:pt>
                <c:pt idx="1">
                  <c:v>Orthopedics</c:v>
                </c:pt>
                <c:pt idx="2">
                  <c:v>Oncology</c:v>
                </c:pt>
                <c:pt idx="3">
                  <c:v>Neurology</c:v>
                </c:pt>
                <c:pt idx="4">
                  <c:v>Gastroenterology</c:v>
                </c:pt>
                <c:pt idx="5">
                  <c:v>Cardiology</c:v>
                </c:pt>
              </c:strCache>
            </c:strRef>
          </c:cat>
          <c:val>
            <c:numRef>
              <c:f>'Pivot Chart'!$D$4:$D$10</c:f>
              <c:numCache>
                <c:formatCode>General</c:formatCode>
                <c:ptCount val="6"/>
                <c:pt idx="0">
                  <c:v>17.727930402572756</c:v>
                </c:pt>
                <c:pt idx="1">
                  <c:v>16.439379567641545</c:v>
                </c:pt>
                <c:pt idx="2">
                  <c:v>17.819042610923095</c:v>
                </c:pt>
                <c:pt idx="3">
                  <c:v>19.085265376655212</c:v>
                </c:pt>
                <c:pt idx="4">
                  <c:v>16.895590419093264</c:v>
                </c:pt>
                <c:pt idx="5">
                  <c:v>19.571496576932219</c:v>
                </c:pt>
              </c:numCache>
            </c:numRef>
          </c:val>
          <c:shape val="cylinder"/>
          <c:extLst>
            <c:ext xmlns:c16="http://schemas.microsoft.com/office/drawing/2014/chart" uri="{C3380CC4-5D6E-409C-BE32-E72D297353CC}">
              <c16:uniqueId val="{00000002-1D04-4118-9530-20F7CEEA160F}"/>
            </c:ext>
          </c:extLst>
        </c:ser>
        <c:dLbls>
          <c:showLegendKey val="0"/>
          <c:showVal val="0"/>
          <c:showCatName val="0"/>
          <c:showSerName val="0"/>
          <c:showPercent val="0"/>
          <c:showBubbleSize val="0"/>
        </c:dLbls>
        <c:gapWidth val="150"/>
        <c:shape val="box"/>
        <c:axId val="2050475472"/>
        <c:axId val="2050463824"/>
        <c:axId val="0"/>
      </c:bar3DChart>
      <c:catAx>
        <c:axId val="2050475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07774"/>
                </a:solidFill>
                <a:latin typeface="+mn-lt"/>
                <a:ea typeface="+mn-ea"/>
                <a:cs typeface="+mn-cs"/>
              </a:defRPr>
            </a:pPr>
            <a:endParaRPr lang="en-US"/>
          </a:p>
        </c:txPr>
        <c:crossAx val="2050463824"/>
        <c:crosses val="autoZero"/>
        <c:auto val="1"/>
        <c:lblAlgn val="ctr"/>
        <c:lblOffset val="100"/>
        <c:noMultiLvlLbl val="0"/>
      </c:catAx>
      <c:valAx>
        <c:axId val="2050463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5047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127000" dir="2700000" algn="tl" rotWithShape="0">
        <a:prstClr val="black">
          <a:alpha val="22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treatment-project.xlsx]Pivot Chart!PivotTable3</c:name>
    <c:fmtId val="8"/>
  </c:pivotSource>
  <c:chart>
    <c:autoTitleDeleted val="1"/>
    <c:pivotFmts>
      <c:pivotFmt>
        <c:idx val="0"/>
        <c:spPr>
          <a:solidFill>
            <a:srgbClr val="006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cene3d>
          <a:camera prst="orthographicFront"/>
          <a:lightRig rig="threePt" dir="t"/>
        </a:scene3d>
        <a:sp3d>
          <a:bevelB h="12700"/>
        </a:sp3d>
      </c:spPr>
    </c:sideWall>
    <c:backWall>
      <c:thickness val="0"/>
      <c:spPr>
        <a:noFill/>
        <a:ln>
          <a:noFill/>
        </a:ln>
        <a:effectLst/>
        <a:scene3d>
          <a:camera prst="orthographicFront"/>
          <a:lightRig rig="threePt" dir="t"/>
        </a:scene3d>
        <a:sp3d>
          <a:bevelB h="12700"/>
        </a:sp3d>
      </c:spPr>
    </c:backWall>
    <c:plotArea>
      <c:layout>
        <c:manualLayout>
          <c:layoutTarget val="inner"/>
          <c:xMode val="edge"/>
          <c:yMode val="edge"/>
          <c:x val="0.37841055673353763"/>
          <c:y val="0.13322251472627092"/>
          <c:w val="0.55578084755694013"/>
          <c:h val="0.66675989054057083"/>
        </c:manualLayout>
      </c:layout>
      <c:bar3DChart>
        <c:barDir val="bar"/>
        <c:grouping val="clustered"/>
        <c:varyColors val="0"/>
        <c:ser>
          <c:idx val="0"/>
          <c:order val="0"/>
          <c:tx>
            <c:strRef>
              <c:f>'Pivot Chart'!$B$17</c:f>
              <c:strCache>
                <c:ptCount val="1"/>
                <c:pt idx="0">
                  <c:v>Total</c:v>
                </c:pt>
              </c:strCache>
            </c:strRef>
          </c:tx>
          <c:spPr>
            <a:solidFill>
              <a:srgbClr val="006000"/>
            </a:solidFill>
            <a:ln>
              <a:noFill/>
            </a:ln>
            <a:effectLst/>
            <a:sp3d/>
          </c:spPr>
          <c:invertIfNegative val="0"/>
          <c:cat>
            <c:strRef>
              <c:f>'Pivot Chart'!$A$18:$A$23</c:f>
              <c:strCache>
                <c:ptCount val="5"/>
                <c:pt idx="0">
                  <c:v>Dr. A. Sharma</c:v>
                </c:pt>
                <c:pt idx="1">
                  <c:v>Dr. L. Khan</c:v>
                </c:pt>
                <c:pt idx="2">
                  <c:v>Dr. M. Patel</c:v>
                </c:pt>
                <c:pt idx="3">
                  <c:v>Dr. R. Singh</c:v>
                </c:pt>
                <c:pt idx="4">
                  <c:v>Dr. T. Mehta</c:v>
                </c:pt>
              </c:strCache>
            </c:strRef>
          </c:cat>
          <c:val>
            <c:numRef>
              <c:f>'Pivot Chart'!$B$18:$B$23</c:f>
              <c:numCache>
                <c:formatCode>General</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0-AAC3-47B0-B355-5B0512F3146C}"/>
            </c:ext>
          </c:extLst>
        </c:ser>
        <c:dLbls>
          <c:showLegendKey val="0"/>
          <c:showVal val="0"/>
          <c:showCatName val="0"/>
          <c:showSerName val="0"/>
          <c:showPercent val="0"/>
          <c:showBubbleSize val="0"/>
        </c:dLbls>
        <c:gapWidth val="150"/>
        <c:shape val="box"/>
        <c:axId val="2050486704"/>
        <c:axId val="2050500016"/>
        <c:axId val="0"/>
      </c:bar3DChart>
      <c:catAx>
        <c:axId val="2050486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50500016"/>
        <c:crosses val="autoZero"/>
        <c:auto val="1"/>
        <c:lblAlgn val="ctr"/>
        <c:lblOffset val="100"/>
        <c:noMultiLvlLbl val="0"/>
      </c:catAx>
      <c:valAx>
        <c:axId val="2050500016"/>
        <c:scaling>
          <c:orientation val="minMax"/>
          <c:max val="75"/>
          <c:min val="6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180" b="1" i="0" u="none" strike="noStrike" kern="1200" baseline="0">
                <a:solidFill>
                  <a:schemeClr val="tx1"/>
                </a:solidFill>
                <a:latin typeface="+mn-lt"/>
                <a:ea typeface="+mn-ea"/>
                <a:cs typeface="+mn-cs"/>
              </a:defRPr>
            </a:pPr>
            <a:endParaRPr lang="en-US"/>
          </a:p>
        </c:txPr>
        <c:crossAx val="205048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114300" dir="2700000" algn="tl" rotWithShape="0">
        <a:prstClr val="black">
          <a:alpha val="28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treatment-project.xlsx]Pivot Chart!PivotTable4</c:name>
    <c:fmtId val="9"/>
  </c:pivotSource>
  <c:chart>
    <c:autoTitleDeleted val="1"/>
    <c:pivotFmts>
      <c:pivotFmt>
        <c:idx val="0"/>
        <c:spPr>
          <a:solidFill>
            <a:schemeClr val="accent1"/>
          </a:solidFill>
          <a:ln w="6350" cap="rnd">
            <a:solidFill>
              <a:srgbClr val="0080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4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3300"/>
          </a:solidFill>
          <a:ln w="6350" cap="rnd">
            <a:solidFill>
              <a:srgbClr val="008080"/>
            </a:solidFill>
            <a:round/>
          </a:ln>
          <a:effectLst/>
        </c:spPr>
      </c:pivotFmt>
      <c:pivotFmt>
        <c:idx val="2"/>
        <c:spPr>
          <a:solidFill>
            <a:srgbClr val="00A864"/>
          </a:solidFill>
          <a:ln w="6350" cap="rnd">
            <a:solidFill>
              <a:srgbClr val="008080"/>
            </a:solidFill>
            <a:round/>
          </a:ln>
          <a:effectLst/>
        </c:spPr>
      </c:pivotFmt>
      <c:pivotFmt>
        <c:idx val="3"/>
        <c:spPr>
          <a:solidFill>
            <a:srgbClr val="99FFCC"/>
          </a:solidFill>
          <a:ln w="6350" cap="rnd">
            <a:solidFill>
              <a:srgbClr val="008080"/>
            </a:solidFill>
            <a:round/>
          </a:ln>
          <a:effectLst/>
        </c:spPr>
      </c:pivotFmt>
      <c:pivotFmt>
        <c:idx val="4"/>
        <c:spPr>
          <a:solidFill>
            <a:schemeClr val="accent1"/>
          </a:solidFill>
          <a:ln w="6350" cap="rnd">
            <a:solidFill>
              <a:srgbClr val="0080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4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3300"/>
          </a:solidFill>
          <a:ln w="6350" cap="rnd">
            <a:solidFill>
              <a:srgbClr val="008080"/>
            </a:solidFill>
            <a:round/>
          </a:ln>
          <a:effectLst/>
        </c:spPr>
      </c:pivotFmt>
      <c:pivotFmt>
        <c:idx val="6"/>
        <c:spPr>
          <a:solidFill>
            <a:srgbClr val="00A864"/>
          </a:solidFill>
          <a:ln w="6350" cap="rnd">
            <a:solidFill>
              <a:srgbClr val="008080"/>
            </a:solidFill>
            <a:round/>
          </a:ln>
          <a:effectLst/>
        </c:spPr>
      </c:pivotFmt>
      <c:pivotFmt>
        <c:idx val="7"/>
        <c:spPr>
          <a:solidFill>
            <a:srgbClr val="99FFCC"/>
          </a:solidFill>
          <a:ln w="6350" cap="rnd">
            <a:solidFill>
              <a:srgbClr val="008080"/>
            </a:solidFill>
            <a:round/>
          </a:ln>
          <a:effectLst/>
        </c:spPr>
      </c:pivotFmt>
      <c:pivotFmt>
        <c:idx val="8"/>
        <c:spPr>
          <a:solidFill>
            <a:schemeClr val="accent1"/>
          </a:solidFill>
          <a:ln w="6350" cap="rnd">
            <a:solidFill>
              <a:srgbClr val="0080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3300"/>
          </a:solidFill>
          <a:ln w="6350" cap="rnd">
            <a:solidFill>
              <a:srgbClr val="008080"/>
            </a:solidFill>
            <a:round/>
          </a:ln>
          <a:effectLst/>
        </c:spPr>
        <c:dLbl>
          <c:idx val="0"/>
          <c:tx>
            <c:rich>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fld id="{54AF0E96-1847-4491-9AD9-A05D201D764E}" type="PERCENTAGE">
                  <a:rPr lang="en-US">
                    <a:solidFill>
                      <a:schemeClr val="bg1"/>
                    </a:solidFill>
                  </a:rPr>
                  <a:pPr>
                    <a:defRPr sz="1300" b="1">
                      <a:solidFill>
                        <a:schemeClr val="tx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00A864"/>
          </a:solidFill>
          <a:ln w="6350" cap="rnd">
            <a:solidFill>
              <a:srgbClr val="008080"/>
            </a:solidFill>
            <a:round/>
          </a:ln>
          <a:effectLst/>
        </c:spPr>
      </c:pivotFmt>
      <c:pivotFmt>
        <c:idx val="11"/>
        <c:spPr>
          <a:solidFill>
            <a:srgbClr val="99FFCC"/>
          </a:solidFill>
          <a:ln w="6350" cap="rnd">
            <a:solidFill>
              <a:srgbClr val="008080"/>
            </a:solidFill>
            <a:round/>
          </a:ln>
          <a:effectLst/>
        </c:spPr>
      </c:pivotFmt>
    </c:pivotFmts>
    <c:plotArea>
      <c:layout>
        <c:manualLayout>
          <c:layoutTarget val="inner"/>
          <c:xMode val="edge"/>
          <c:yMode val="edge"/>
          <c:x val="0.12880418610094121"/>
          <c:y val="0.20513581941128067"/>
          <c:w val="0.5097223603748765"/>
          <c:h val="0.59081437716463781"/>
        </c:manualLayout>
      </c:layout>
      <c:doughnutChart>
        <c:varyColors val="1"/>
        <c:ser>
          <c:idx val="0"/>
          <c:order val="0"/>
          <c:tx>
            <c:strRef>
              <c:f>'Pivot Chart'!$B$31</c:f>
              <c:strCache>
                <c:ptCount val="1"/>
                <c:pt idx="0">
                  <c:v>Total</c:v>
                </c:pt>
              </c:strCache>
            </c:strRef>
          </c:tx>
          <c:spPr>
            <a:ln w="6350" cap="rnd">
              <a:solidFill>
                <a:srgbClr val="008080"/>
              </a:solidFill>
              <a:round/>
            </a:ln>
          </c:spPr>
          <c:explosion val="1"/>
          <c:dPt>
            <c:idx val="0"/>
            <c:bubble3D val="0"/>
            <c:spPr>
              <a:solidFill>
                <a:srgbClr val="003300"/>
              </a:solidFill>
              <a:ln w="6350" cap="rnd">
                <a:solidFill>
                  <a:srgbClr val="008080"/>
                </a:solidFill>
                <a:round/>
              </a:ln>
              <a:effectLst/>
            </c:spPr>
            <c:extLst>
              <c:ext xmlns:c16="http://schemas.microsoft.com/office/drawing/2014/chart" uri="{C3380CC4-5D6E-409C-BE32-E72D297353CC}">
                <c16:uniqueId val="{00000001-F224-412F-9C6F-4EFDE7E90B4D}"/>
              </c:ext>
            </c:extLst>
          </c:dPt>
          <c:dPt>
            <c:idx val="1"/>
            <c:bubble3D val="0"/>
            <c:spPr>
              <a:solidFill>
                <a:srgbClr val="00A864"/>
              </a:solidFill>
              <a:ln w="6350" cap="rnd">
                <a:solidFill>
                  <a:srgbClr val="008080"/>
                </a:solidFill>
                <a:round/>
              </a:ln>
              <a:effectLst/>
            </c:spPr>
            <c:extLst>
              <c:ext xmlns:c16="http://schemas.microsoft.com/office/drawing/2014/chart" uri="{C3380CC4-5D6E-409C-BE32-E72D297353CC}">
                <c16:uniqueId val="{00000003-F224-412F-9C6F-4EFDE7E90B4D}"/>
              </c:ext>
            </c:extLst>
          </c:dPt>
          <c:dPt>
            <c:idx val="2"/>
            <c:bubble3D val="0"/>
            <c:spPr>
              <a:solidFill>
                <a:srgbClr val="99FFCC"/>
              </a:solidFill>
              <a:ln w="6350" cap="rnd">
                <a:solidFill>
                  <a:srgbClr val="008080"/>
                </a:solidFill>
                <a:round/>
              </a:ln>
              <a:effectLst/>
            </c:spPr>
            <c:extLst>
              <c:ext xmlns:c16="http://schemas.microsoft.com/office/drawing/2014/chart" uri="{C3380CC4-5D6E-409C-BE32-E72D297353CC}">
                <c16:uniqueId val="{00000005-F224-412F-9C6F-4EFDE7E90B4D}"/>
              </c:ext>
            </c:extLst>
          </c:dPt>
          <c:dLbls>
            <c:dLbl>
              <c:idx val="0"/>
              <c:tx>
                <c:rich>
                  <a:bodyPr/>
                  <a:lstStyle/>
                  <a:p>
                    <a:fld id="{54AF0E96-1847-4491-9AD9-A05D201D764E}"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224-412F-9C6F-4EFDE7E90B4D}"/>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Chart'!$A$32:$A$35</c:f>
              <c:strCache>
                <c:ptCount val="3"/>
                <c:pt idx="0">
                  <c:v>Female</c:v>
                </c:pt>
                <c:pt idx="1">
                  <c:v>Male</c:v>
                </c:pt>
                <c:pt idx="2">
                  <c:v>Other</c:v>
                </c:pt>
              </c:strCache>
            </c:strRef>
          </c:cat>
          <c:val>
            <c:numRef>
              <c:f>'Pivot Chart'!$B$32:$B$35</c:f>
              <c:numCache>
                <c:formatCode>General</c:formatCode>
                <c:ptCount val="3"/>
                <c:pt idx="0">
                  <c:v>71.614035087719301</c:v>
                </c:pt>
                <c:pt idx="1">
                  <c:v>72.283950617283949</c:v>
                </c:pt>
                <c:pt idx="2">
                  <c:v>66.741935483870961</c:v>
                </c:pt>
              </c:numCache>
            </c:numRef>
          </c:val>
          <c:extLst>
            <c:ext xmlns:c16="http://schemas.microsoft.com/office/drawing/2014/chart" uri="{C3380CC4-5D6E-409C-BE32-E72D297353CC}">
              <c16:uniqueId val="{00000006-F224-412F-9C6F-4EFDE7E90B4D}"/>
            </c:ext>
          </c:extLst>
        </c:ser>
        <c:dLbls>
          <c:showLegendKey val="0"/>
          <c:showVal val="0"/>
          <c:showCatName val="0"/>
          <c:showSerName val="0"/>
          <c:showPercent val="0"/>
          <c:showBubbleSize val="0"/>
          <c:showLeaderLines val="1"/>
        </c:dLbls>
        <c:firstSliceAng val="5"/>
        <c:holeSize val="63"/>
      </c:doughnutChart>
      <c:spPr>
        <a:noFill/>
        <a:ln>
          <a:noFill/>
        </a:ln>
        <a:effectLst/>
      </c:spPr>
    </c:plotArea>
    <c:legend>
      <c:legendPos val="r"/>
      <c:layout>
        <c:manualLayout>
          <c:xMode val="edge"/>
          <c:yMode val="edge"/>
          <c:x val="0.70463064168750433"/>
          <c:y val="0.38999899212636902"/>
          <c:w val="0.27027131776357061"/>
          <c:h val="0.2816975264406725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lumMod val="15000"/>
          <a:lumOff val="85000"/>
        </a:schemeClr>
      </a:solidFill>
      <a:round/>
    </a:ln>
    <a:effectLst>
      <a:outerShdw blurRad="50800" dist="114300" dir="2700000" algn="tl" rotWithShape="0">
        <a:prstClr val="black">
          <a:alpha val="2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treatment-project.xlsx]Pivot Chart!PivotTable5</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Avg</a:t>
            </a:r>
            <a:r>
              <a:rPr lang="en-US" b="1" baseline="0">
                <a:solidFill>
                  <a:schemeClr val="tx1"/>
                </a:solidFill>
              </a:rPr>
              <a:t> Recovery Score by Treatment Type</a:t>
            </a:r>
            <a:endParaRPr lang="en-US" b="1">
              <a:solidFill>
                <a:schemeClr val="tx1"/>
              </a:solidFill>
            </a:endParaRPr>
          </a:p>
        </c:rich>
      </c:tx>
      <c:layout>
        <c:manualLayout>
          <c:xMode val="edge"/>
          <c:yMode val="edge"/>
          <c:x val="0.20881964931724226"/>
          <c:y val="3.97575231419456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6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000"/>
          </a:solidFill>
          <a:ln w="0" cmpd="dbl">
            <a:solidFill>
              <a:srgbClr val="0070C0"/>
            </a:solidFill>
          </a:ln>
          <a:effectLst/>
        </c:spPr>
      </c:pivotFmt>
      <c:pivotFmt>
        <c:idx val="2"/>
        <c:spPr>
          <a:solidFill>
            <a:srgbClr val="006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000"/>
          </a:solidFill>
          <a:ln w="0" cmpd="dbl">
            <a:solidFill>
              <a:srgbClr val="0070C0"/>
            </a:solidFill>
          </a:ln>
          <a:effectLst/>
        </c:spPr>
      </c:pivotFmt>
      <c:pivotFmt>
        <c:idx val="4"/>
        <c:spPr>
          <a:solidFill>
            <a:srgbClr val="006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6000"/>
          </a:solidFill>
          <a:ln w="0" cmpd="dbl">
            <a:solidFill>
              <a:srgbClr val="0070C0"/>
            </a:solidFill>
          </a:ln>
          <a:effectLst/>
        </c:spPr>
      </c:pivotFmt>
    </c:pivotFmts>
    <c:plotArea>
      <c:layout>
        <c:manualLayout>
          <c:layoutTarget val="inner"/>
          <c:xMode val="edge"/>
          <c:yMode val="edge"/>
          <c:x val="0.26132179455290583"/>
          <c:y val="0.24159887532466603"/>
          <c:w val="0.67369474854424083"/>
          <c:h val="0.69233269580767354"/>
        </c:manualLayout>
      </c:layout>
      <c:barChart>
        <c:barDir val="bar"/>
        <c:grouping val="clustered"/>
        <c:varyColors val="0"/>
        <c:ser>
          <c:idx val="0"/>
          <c:order val="0"/>
          <c:tx>
            <c:strRef>
              <c:f>'Pivot Chart'!$B$40</c:f>
              <c:strCache>
                <c:ptCount val="1"/>
                <c:pt idx="0">
                  <c:v>Total</c:v>
                </c:pt>
              </c:strCache>
            </c:strRef>
          </c:tx>
          <c:spPr>
            <a:solidFill>
              <a:srgbClr val="006000"/>
            </a:solidFill>
            <a:ln>
              <a:noFill/>
            </a:ln>
            <a:effectLst/>
          </c:spPr>
          <c:invertIfNegative val="0"/>
          <c:dPt>
            <c:idx val="2"/>
            <c:invertIfNegative val="0"/>
            <c:bubble3D val="0"/>
            <c:spPr>
              <a:solidFill>
                <a:srgbClr val="006000"/>
              </a:solidFill>
              <a:ln w="0" cmpd="dbl">
                <a:solidFill>
                  <a:srgbClr val="0070C0"/>
                </a:solidFill>
              </a:ln>
              <a:effectLst/>
            </c:spPr>
            <c:extLst>
              <c:ext xmlns:c16="http://schemas.microsoft.com/office/drawing/2014/chart" uri="{C3380CC4-5D6E-409C-BE32-E72D297353CC}">
                <c16:uniqueId val="{00000001-AD8C-42AC-A565-DFF042971F7F}"/>
              </c:ext>
            </c:extLst>
          </c:dPt>
          <c:cat>
            <c:strRef>
              <c:f>'Pivot Chart'!$A$41:$A$45</c:f>
              <c:strCache>
                <c:ptCount val="4"/>
                <c:pt idx="0">
                  <c:v>Therapy</c:v>
                </c:pt>
                <c:pt idx="1">
                  <c:v>Surgery</c:v>
                </c:pt>
                <c:pt idx="2">
                  <c:v>Observation</c:v>
                </c:pt>
                <c:pt idx="3">
                  <c:v>Medication</c:v>
                </c:pt>
              </c:strCache>
            </c:strRef>
          </c:cat>
          <c:val>
            <c:numRef>
              <c:f>'Pivot Chart'!$B$41:$B$45</c:f>
              <c:numCache>
                <c:formatCode>General</c:formatCode>
                <c:ptCount val="4"/>
                <c:pt idx="0">
                  <c:v>70.98</c:v>
                </c:pt>
                <c:pt idx="1">
                  <c:v>73.291666666666671</c:v>
                </c:pt>
                <c:pt idx="2">
                  <c:v>70.021276595744681</c:v>
                </c:pt>
                <c:pt idx="3">
                  <c:v>67.581818181818178</c:v>
                </c:pt>
              </c:numCache>
            </c:numRef>
          </c:val>
          <c:extLst>
            <c:ext xmlns:c16="http://schemas.microsoft.com/office/drawing/2014/chart" uri="{C3380CC4-5D6E-409C-BE32-E72D297353CC}">
              <c16:uniqueId val="{00000002-AD8C-42AC-A565-DFF042971F7F}"/>
            </c:ext>
          </c:extLst>
        </c:ser>
        <c:dLbls>
          <c:showLegendKey val="0"/>
          <c:showVal val="0"/>
          <c:showCatName val="0"/>
          <c:showSerName val="0"/>
          <c:showPercent val="0"/>
          <c:showBubbleSize val="0"/>
        </c:dLbls>
        <c:gapWidth val="9"/>
        <c:overlap val="30"/>
        <c:axId val="133147471"/>
        <c:axId val="133132495"/>
      </c:barChart>
      <c:catAx>
        <c:axId val="133147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3132495"/>
        <c:crosses val="autoZero"/>
        <c:auto val="1"/>
        <c:lblAlgn val="ctr"/>
        <c:lblOffset val="100"/>
        <c:noMultiLvlLbl val="0"/>
      </c:catAx>
      <c:valAx>
        <c:axId val="133132495"/>
        <c:scaling>
          <c:orientation val="minMax"/>
        </c:scaling>
        <c:delete val="1"/>
        <c:axPos val="b"/>
        <c:numFmt formatCode="General" sourceLinked="1"/>
        <c:majorTickMark val="out"/>
        <c:minorTickMark val="none"/>
        <c:tickLblPos val="nextTo"/>
        <c:crossAx val="1331474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114300" dir="2700000" algn="tl" rotWithShape="0">
        <a:prstClr val="black">
          <a:alpha val="21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[Titilayo-patient treatment-project.xlsx]Sheet13!PivotTable10</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808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33CCCC"/>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008080"/>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33CCCC"/>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00A86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600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0A864"/>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00A86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006000"/>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00A864"/>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00A864"/>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06000"/>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00A864"/>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Sheet13!$B$3</c:f>
              <c:strCache>
                <c:ptCount val="1"/>
                <c:pt idx="0">
                  <c:v>Total</c:v>
                </c:pt>
              </c:strCache>
            </c:strRef>
          </c:tx>
          <c:spPr>
            <a:solidFill>
              <a:srgbClr val="00A864"/>
            </a:solidFill>
          </c:spPr>
          <c:dPt>
            <c:idx val="0"/>
            <c:bubble3D val="0"/>
            <c:spPr>
              <a:solidFill>
                <a:srgbClr val="006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3AC-434B-8812-0DA9A962FEE0}"/>
              </c:ext>
            </c:extLst>
          </c:dPt>
          <c:dPt>
            <c:idx val="1"/>
            <c:bubble3D val="0"/>
            <c:spPr>
              <a:solidFill>
                <a:srgbClr val="00A86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3AC-434B-8812-0DA9A962FEE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Sheet13!$A$4:$A$6</c:f>
              <c:strCache>
                <c:ptCount val="2"/>
                <c:pt idx="0">
                  <c:v>High Cost</c:v>
                </c:pt>
                <c:pt idx="1">
                  <c:v>Low Cost</c:v>
                </c:pt>
              </c:strCache>
            </c:strRef>
          </c:cat>
          <c:val>
            <c:numRef>
              <c:f>Sheet13!$B$4:$B$6</c:f>
              <c:numCache>
                <c:formatCode>General</c:formatCode>
                <c:ptCount val="2"/>
                <c:pt idx="0">
                  <c:v>73.55</c:v>
                </c:pt>
                <c:pt idx="1">
                  <c:v>72.666666666666671</c:v>
                </c:pt>
              </c:numCache>
            </c:numRef>
          </c:val>
          <c:extLst>
            <c:ext xmlns:c16="http://schemas.microsoft.com/office/drawing/2014/chart" uri="{C3380CC4-5D6E-409C-BE32-E72D297353CC}">
              <c16:uniqueId val="{00000004-B3AC-434B-8812-0DA9A962FEE0}"/>
            </c:ext>
          </c:extLst>
        </c:ser>
        <c:dLbls>
          <c:dLblPos val="inEnd"/>
          <c:showLegendKey val="0"/>
          <c:showVal val="0"/>
          <c:showCatName val="0"/>
          <c:showSerName val="0"/>
          <c:showPercent val="1"/>
          <c:showBubbleSize val="0"/>
          <c:showLeaderLines val="1"/>
        </c:dLbls>
        <c:firstSliceAng val="5"/>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76200" dir="2700000" algn="tl" rotWithShape="0">
        <a:prstClr val="black">
          <a:alpha val="38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ECD44BE0-48D8-4DAC-99B3-B1D968DAEFCD}">
          <cx:tx>
            <cx:txData>
              <cx:f>_xlchart.v1.1</cx:f>
              <cx:v>Average of Recovery Score</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AVG RECOVERY SCORE BY AGE GROUP</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79695CAE-1307-4B5B-BA1A-60F72373E224}">
          <cx:tx>
            <cx:txData>
              <cx:f>_xlchart.v1.4</cx:f>
              <cx:v>Average of Recovery Score</cx:v>
            </cx:txData>
          </cx:tx>
          <cx:dataPt idx="0">
            <cx:spPr>
              <a:solidFill>
                <a:srgbClr val="99FFCC"/>
              </a:solidFill>
            </cx:spPr>
          </cx:dataPt>
          <cx:dataPt idx="1">
            <cx:spPr>
              <a:solidFill>
                <a:srgbClr val="006000"/>
              </a:solidFill>
            </cx:spPr>
          </cx:dataPt>
          <cx:dataPt idx="2">
            <cx:spPr>
              <a:solidFill>
                <a:srgbClr val="003300"/>
              </a:solidFill>
            </cx:spPr>
          </cx:dataPt>
          <cx:dataPt idx="6">
            <cx:spPr>
              <a:solidFill>
                <a:srgbClr val="99FFCC"/>
              </a:solidFill>
            </cx:spPr>
          </cx:dataPt>
          <cx:dataPt idx="7">
            <cx:spPr>
              <a:solidFill>
                <a:srgbClr val="003300"/>
              </a:solidFill>
            </cx:spPr>
          </cx:dataPt>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AVG RECOVERY SCORE BY AGE GROUP</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79695CAE-1307-4B5B-BA1A-60F72373E224}">
          <cx:tx>
            <cx:txData>
              <cx:f>_xlchart.v1.7</cx:f>
              <cx:v>Average of Recovery Score</cx:v>
            </cx:txData>
          </cx:tx>
          <cx:dataPt idx="0">
            <cx:spPr>
              <a:solidFill>
                <a:srgbClr val="99FFCC"/>
              </a:solidFill>
            </cx:spPr>
          </cx:dataPt>
          <cx:dataPt idx="1">
            <cx:spPr>
              <a:solidFill>
                <a:srgbClr val="006000"/>
              </a:solidFill>
            </cx:spPr>
          </cx:dataPt>
          <cx:dataPt idx="2">
            <cx:spPr>
              <a:solidFill>
                <a:srgbClr val="003300"/>
              </a:solidFill>
            </cx:spPr>
          </cx:dataPt>
          <cx:dataPt idx="6">
            <cx:spPr>
              <a:solidFill>
                <a:srgbClr val="99FFCC"/>
              </a:solidFill>
            </cx:spPr>
          </cx:dataPt>
          <cx:dataPt idx="7">
            <cx:spPr>
              <a:solidFill>
                <a:srgbClr val="003300"/>
              </a:solidFill>
            </cx:spPr>
          </cx:dataPt>
          <cx:dataLabels pos="inEnd">
            <cx:txPr>
              <a:bodyPr spcFirstLastPara="1" vertOverflow="ellipsis" horzOverflow="overflow" wrap="square" lIns="0" tIns="0" rIns="0" bIns="0" anchor="ctr" anchorCtr="1"/>
              <a:lstStyle/>
              <a:p>
                <a:pPr algn="ctr" rtl="0">
                  <a:defRPr sz="1200"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b="1" i="0" u="none" strike="noStrike" baseline="0">
                  <a:solidFill>
                    <a:sysClr val="window" lastClr="FFFFFF"/>
                  </a:solidFill>
                  <a:latin typeface="Segoe UI Semibold" panose="020B0702040204020203" pitchFamily="34" charset="0"/>
                  <a:cs typeface="Segoe UI Semibold" panose="020B0702040204020203" pitchFamily="34" charset="0"/>
                </a:endParaRPr>
              </a:p>
            </cx:txPr>
            <cx:visibility seriesName="0" categoryName="1" value="0"/>
            <cx:dataLabel idx="0">
              <cx:txPr>
                <a:bodyPr spcFirstLastPara="1" vertOverflow="ellipsis" horzOverflow="overflow" wrap="square" lIns="0" tIns="0" rIns="0" bIns="0" anchor="ctr" anchorCtr="1"/>
                <a:lstStyle/>
                <a:p>
                  <a:pPr algn="ctr" rtl="0">
                    <a:defRPr>
                      <a:solidFill>
                        <a:schemeClr val="tx1"/>
                      </a:solidFill>
                    </a:defRPr>
                  </a:pPr>
                  <a:r>
                    <a:rPr lang="en-US" sz="1200" b="1" i="0" u="none" strike="noStrike" baseline="0">
                      <a:solidFill>
                        <a:schemeClr val="tx1"/>
                      </a:solidFill>
                      <a:latin typeface="Segoe UI Semibold" panose="020B0702040204020203" pitchFamily="34" charset="0"/>
                      <a:cs typeface="Segoe UI Semibold" panose="020B0702040204020203" pitchFamily="34" charset="0"/>
                    </a:rPr>
                    <a:t>Adult</a:t>
                  </a:r>
                </a:p>
              </cx:txPr>
            </cx:dataLabel>
            <cx:dataLabel idx="6">
              <cx:txPr>
                <a:bodyPr spcFirstLastPara="1" vertOverflow="ellipsis" horzOverflow="overflow" wrap="square" lIns="0" tIns="0" rIns="0" bIns="0" anchor="ctr" anchorCtr="1"/>
                <a:lstStyle/>
                <a:p>
                  <a:pPr algn="ctr" rtl="0">
                    <a:defRPr>
                      <a:solidFill>
                        <a:schemeClr val="tx1"/>
                      </a:solidFill>
                    </a:defRPr>
                  </a:pPr>
                  <a:r>
                    <a:rPr lang="en-US" sz="1200" b="1" i="0" u="none" strike="noStrike" baseline="0">
                      <a:solidFill>
                        <a:schemeClr val="tx1"/>
                      </a:solidFill>
                      <a:latin typeface="Segoe UI Semibold" panose="020B0702040204020203" pitchFamily="34" charset="0"/>
                      <a:cs typeface="Segoe UI Semibold" panose="020B0702040204020203" pitchFamily="34" charset="0"/>
                    </a:rPr>
                    <a:t>Teenager</a:t>
                  </a:r>
                </a:p>
              </cx:txPr>
            </cx:dataLabel>
          </cx:dataLabels>
          <cx:dataId val="0"/>
          <cx:layoutPr>
            <cx:parentLabelLayout val="overlapping"/>
          </cx:layoutPr>
        </cx:series>
      </cx:plotAreaRegion>
    </cx:plotArea>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0.xml"/><Relationship Id="rId3" Type="http://schemas.openxmlformats.org/officeDocument/2006/relationships/image" Target="../media/image3.png"/><Relationship Id="rId7" Type="http://schemas.microsoft.com/office/2007/relationships/hdphoto" Target="../media/hdphoto2.wdp"/><Relationship Id="rId12" Type="http://schemas.openxmlformats.org/officeDocument/2006/relationships/chart" Target="../charts/chart9.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5.png"/><Relationship Id="rId11" Type="http://schemas.openxmlformats.org/officeDocument/2006/relationships/chart" Target="../charts/chart8.xml"/><Relationship Id="rId5" Type="http://schemas.openxmlformats.org/officeDocument/2006/relationships/image" Target="../media/image4.jpeg"/><Relationship Id="rId15" Type="http://schemas.microsoft.com/office/2014/relationships/chartEx" Target="../charts/chartEx3.xml"/><Relationship Id="rId10" Type="http://schemas.openxmlformats.org/officeDocument/2006/relationships/chart" Target="../charts/chart7.xml"/><Relationship Id="rId4" Type="http://schemas.microsoft.com/office/2007/relationships/hdphoto" Target="../media/hdphoto1.wdp"/><Relationship Id="rId9" Type="http://schemas.microsoft.com/office/2007/relationships/hdphoto" Target="../media/hdphoto3.wdp"/><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561975</xdr:colOff>
      <xdr:row>1</xdr:row>
      <xdr:rowOff>47625</xdr:rowOff>
    </xdr:from>
    <xdr:to>
      <xdr:col>9</xdr:col>
      <xdr:colOff>104775</xdr:colOff>
      <xdr:row>11</xdr:row>
      <xdr:rowOff>123825</xdr:rowOff>
    </xdr:to>
    <xdr:graphicFrame macro="">
      <xdr:nvGraphicFramePr>
        <xdr:cNvPr id="2" name="Chart 1">
          <a:extLst>
            <a:ext uri="{FF2B5EF4-FFF2-40B4-BE49-F238E27FC236}">
              <a16:creationId xmlns:a16="http://schemas.microsoft.com/office/drawing/2014/main" id="{C6E838EE-4917-47E3-9046-F8E592ED5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123825</xdr:colOff>
      <xdr:row>15</xdr:row>
      <xdr:rowOff>57150</xdr:rowOff>
    </xdr:from>
    <xdr:to>
      <xdr:col>11</xdr:col>
      <xdr:colOff>428625</xdr:colOff>
      <xdr:row>29</xdr:row>
      <xdr:rowOff>133350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3F06266-A0CD-42FB-B160-4FEEAB001D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876675" y="29146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2</xdr:row>
      <xdr:rowOff>14287</xdr:rowOff>
    </xdr:from>
    <xdr:to>
      <xdr:col>11</xdr:col>
      <xdr:colOff>219075</xdr:colOff>
      <xdr:row>17</xdr:row>
      <xdr:rowOff>136071</xdr:rowOff>
    </xdr:to>
    <xdr:graphicFrame macro="">
      <xdr:nvGraphicFramePr>
        <xdr:cNvPr id="4" name="Chart 3">
          <a:extLst>
            <a:ext uri="{FF2B5EF4-FFF2-40B4-BE49-F238E27FC236}">
              <a16:creationId xmlns:a16="http://schemas.microsoft.com/office/drawing/2014/main" id="{F85EB2D4-30C9-4369-B13E-D0FF9ACB6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257175</xdr:colOff>
      <xdr:row>18</xdr:row>
      <xdr:rowOff>180974</xdr:rowOff>
    </xdr:from>
    <xdr:to>
      <xdr:col>11</xdr:col>
      <xdr:colOff>133350</xdr:colOff>
      <xdr:row>33</xdr:row>
      <xdr:rowOff>95249</xdr:rowOff>
    </xdr:to>
    <xdr:graphicFrame macro="">
      <xdr:nvGraphicFramePr>
        <xdr:cNvPr id="6" name="Chart 5">
          <a:extLst>
            <a:ext uri="{FF2B5EF4-FFF2-40B4-BE49-F238E27FC236}">
              <a16:creationId xmlns:a16="http://schemas.microsoft.com/office/drawing/2014/main" id="{CBD80350-D99F-4483-B88B-BAEF46B12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47626</xdr:colOff>
      <xdr:row>35</xdr:row>
      <xdr:rowOff>176213</xdr:rowOff>
    </xdr:from>
    <xdr:to>
      <xdr:col>9</xdr:col>
      <xdr:colOff>600076</xdr:colOff>
      <xdr:row>46</xdr:row>
      <xdr:rowOff>171450</xdr:rowOff>
    </xdr:to>
    <xdr:graphicFrame macro="">
      <xdr:nvGraphicFramePr>
        <xdr:cNvPr id="7" name="Chart 6">
          <a:extLst>
            <a:ext uri="{FF2B5EF4-FFF2-40B4-BE49-F238E27FC236}">
              <a16:creationId xmlns:a16="http://schemas.microsoft.com/office/drawing/2014/main" id="{2CE81DC4-C121-4FCB-8CCE-45D4FDAF4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1495425</xdr:colOff>
      <xdr:row>47</xdr:row>
      <xdr:rowOff>14283</xdr:rowOff>
    </xdr:from>
    <xdr:to>
      <xdr:col>12</xdr:col>
      <xdr:colOff>314324</xdr:colOff>
      <xdr:row>62</xdr:row>
      <xdr:rowOff>180975</xdr:rowOff>
    </xdr:to>
    <xdr:graphicFrame macro="">
      <xdr:nvGraphicFramePr>
        <xdr:cNvPr id="8" name="Chart 7">
          <a:extLst>
            <a:ext uri="{FF2B5EF4-FFF2-40B4-BE49-F238E27FC236}">
              <a16:creationId xmlns:a16="http://schemas.microsoft.com/office/drawing/2014/main" id="{9A95BC5E-4B08-4911-AD59-AC38EBA3F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1400175</xdr:colOff>
      <xdr:row>63</xdr:row>
      <xdr:rowOff>47624</xdr:rowOff>
    </xdr:from>
    <xdr:to>
      <xdr:col>12</xdr:col>
      <xdr:colOff>180974</xdr:colOff>
      <xdr:row>74</xdr:row>
      <xdr:rowOff>133349</xdr:rowOff>
    </xdr:to>
    <xdr:graphicFrame macro="">
      <xdr:nvGraphicFramePr>
        <xdr:cNvPr id="10" name="Chart 9">
          <a:extLst>
            <a:ext uri="{FF2B5EF4-FFF2-40B4-BE49-F238E27FC236}">
              <a16:creationId xmlns:a16="http://schemas.microsoft.com/office/drawing/2014/main" id="{D9387714-7BD6-400E-9617-3D6AD55FB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1647825</xdr:colOff>
      <xdr:row>75</xdr:row>
      <xdr:rowOff>166687</xdr:rowOff>
    </xdr:from>
    <xdr:to>
      <xdr:col>10</xdr:col>
      <xdr:colOff>457200</xdr:colOff>
      <xdr:row>87</xdr:row>
      <xdr:rowOff>133350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7DD74A0-59DF-4651-BD79-02E62DEFAF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810250" y="14454187"/>
              <a:ext cx="4133850" cy="22526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573359</xdr:colOff>
      <xdr:row>48</xdr:row>
      <xdr:rowOff>52735</xdr:rowOff>
    </xdr:from>
    <xdr:to>
      <xdr:col>16</xdr:col>
      <xdr:colOff>590086</xdr:colOff>
      <xdr:row>59</xdr:row>
      <xdr:rowOff>23232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2B9B8EEB-FF85-4434-BBA2-86306C6EB66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805889" y="8973711"/>
              <a:ext cx="1828800" cy="2014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190035</xdr:colOff>
      <xdr:row>31</xdr:row>
      <xdr:rowOff>75969</xdr:rowOff>
    </xdr:from>
    <xdr:to>
      <xdr:col>16</xdr:col>
      <xdr:colOff>206762</xdr:colOff>
      <xdr:row>39</xdr:row>
      <xdr:rowOff>46463</xdr:rowOff>
    </xdr:to>
    <mc:AlternateContent xmlns:mc="http://schemas.openxmlformats.org/markup-compatibility/2006" xmlns:a14="http://schemas.microsoft.com/office/drawing/2010/main">
      <mc:Choice Requires="a14">
        <xdr:graphicFrame macro="">
          <xdr:nvGraphicFramePr>
            <xdr:cNvPr id="12" name="Treatment Type">
              <a:extLst>
                <a:ext uri="{FF2B5EF4-FFF2-40B4-BE49-F238E27FC236}">
                  <a16:creationId xmlns:a16="http://schemas.microsoft.com/office/drawing/2014/main" id="{3E86605E-06EE-4D5A-ADCD-E13FDFF0B71B}"/>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1422565" y="5837432"/>
              <a:ext cx="1828800" cy="1457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480431</xdr:colOff>
      <xdr:row>16</xdr:row>
      <xdr:rowOff>64352</xdr:rowOff>
    </xdr:from>
    <xdr:to>
      <xdr:col>15</xdr:col>
      <xdr:colOff>497157</xdr:colOff>
      <xdr:row>25</xdr:row>
      <xdr:rowOff>81311</xdr:rowOff>
    </xdr:to>
    <mc:AlternateContent xmlns:mc="http://schemas.openxmlformats.org/markup-compatibility/2006" xmlns:a14="http://schemas.microsoft.com/office/drawing/2010/main">
      <mc:Choice Requires="a14">
        <xdr:graphicFrame macro="">
          <xdr:nvGraphicFramePr>
            <xdr:cNvPr id="13" name="Doctor Name">
              <a:extLst>
                <a:ext uri="{FF2B5EF4-FFF2-40B4-BE49-F238E27FC236}">
                  <a16:creationId xmlns:a16="http://schemas.microsoft.com/office/drawing/2014/main" id="{86761802-107A-4BC0-AB5D-0E82DAD90BC0}"/>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11108937" y="3038011"/>
              <a:ext cx="1828800" cy="1689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584975</xdr:colOff>
      <xdr:row>3</xdr:row>
      <xdr:rowOff>34849</xdr:rowOff>
    </xdr:from>
    <xdr:to>
      <xdr:col>15</xdr:col>
      <xdr:colOff>601701</xdr:colOff>
      <xdr:row>9</xdr:row>
      <xdr:rowOff>1</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B47A97F0-A9B8-4A7F-ADB2-D46F6EBABDE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213481" y="592410"/>
              <a:ext cx="1828800" cy="1080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279934</xdr:colOff>
      <xdr:row>0</xdr:row>
      <xdr:rowOff>172316</xdr:rowOff>
    </xdr:from>
    <xdr:to>
      <xdr:col>17</xdr:col>
      <xdr:colOff>321623</xdr:colOff>
      <xdr:row>4</xdr:row>
      <xdr:rowOff>153265</xdr:rowOff>
    </xdr:to>
    <xdr:sp macro="" textlink="">
      <xdr:nvSpPr>
        <xdr:cNvPr id="2" name="Rectangle 1">
          <a:extLst>
            <a:ext uri="{FF2B5EF4-FFF2-40B4-BE49-F238E27FC236}">
              <a16:creationId xmlns:a16="http://schemas.microsoft.com/office/drawing/2014/main" id="{01120F3D-6369-4303-BD9C-CCC80B62C879}"/>
            </a:ext>
          </a:extLst>
        </xdr:cNvPr>
        <xdr:cNvSpPr/>
      </xdr:nvSpPr>
      <xdr:spPr>
        <a:xfrm>
          <a:off x="279934" y="172316"/>
          <a:ext cx="10346007" cy="723157"/>
        </a:xfrm>
        <a:prstGeom prst="rect">
          <a:avLst/>
        </a:prstGeom>
        <a:ln>
          <a:solidFill>
            <a:schemeClr val="bg1">
              <a:lumMod val="85000"/>
            </a:schemeClr>
          </a:solidFill>
        </a:ln>
        <a:effectLst>
          <a:outerShdw blurRad="50800" dist="88900" dir="2700000" algn="tl" rotWithShape="0">
            <a:prstClr val="black">
              <a:alpha val="3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baseline="0">
              <a:solidFill>
                <a:srgbClr val="006000"/>
              </a:solidFill>
            </a:rPr>
            <a:t>                              </a:t>
          </a:r>
          <a:r>
            <a:rPr lang="en-US" sz="2600" b="1" baseline="0">
              <a:solidFill>
                <a:srgbClr val="006000"/>
              </a:solidFill>
            </a:rPr>
            <a:t>  Excel Dashboard - Patient Treatment Data - Recovery Analysis</a:t>
          </a:r>
          <a:endParaRPr lang="en-US" sz="2600" b="1">
            <a:solidFill>
              <a:srgbClr val="006000"/>
            </a:solidFill>
          </a:endParaRPr>
        </a:p>
      </xdr:txBody>
    </xdr:sp>
    <xdr:clientData/>
  </xdr:twoCellAnchor>
  <xdr:twoCellAnchor editAs="oneCell">
    <xdr:from>
      <xdr:col>0</xdr:col>
      <xdr:colOff>416131</xdr:colOff>
      <xdr:row>0</xdr:row>
      <xdr:rowOff>117688</xdr:rowOff>
    </xdr:from>
    <xdr:to>
      <xdr:col>1</xdr:col>
      <xdr:colOff>473280</xdr:colOff>
      <xdr:row>4</xdr:row>
      <xdr:rowOff>27876</xdr:rowOff>
    </xdr:to>
    <xdr:pic>
      <xdr:nvPicPr>
        <xdr:cNvPr id="4" name="Picture 3">
          <a:extLst>
            <a:ext uri="{FF2B5EF4-FFF2-40B4-BE49-F238E27FC236}">
              <a16:creationId xmlns:a16="http://schemas.microsoft.com/office/drawing/2014/main" id="{786F69C2-09CD-46F9-B687-58277AF7D0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2469" b="24827"/>
        <a:stretch/>
      </xdr:blipFill>
      <xdr:spPr>
        <a:xfrm>
          <a:off x="416131" y="117688"/>
          <a:ext cx="663285" cy="652396"/>
        </a:xfrm>
        <a:prstGeom prst="rect">
          <a:avLst/>
        </a:prstGeom>
      </xdr:spPr>
    </xdr:pic>
    <xdr:clientData/>
  </xdr:twoCellAnchor>
  <xdr:oneCellAnchor>
    <xdr:from>
      <xdr:col>4</xdr:col>
      <xdr:colOff>66675</xdr:colOff>
      <xdr:row>2</xdr:row>
      <xdr:rowOff>148441</xdr:rowOff>
    </xdr:from>
    <xdr:ext cx="2296020" cy="265834"/>
    <xdr:sp macro="" textlink="">
      <xdr:nvSpPr>
        <xdr:cNvPr id="5" name="TextBox 4">
          <a:extLst>
            <a:ext uri="{FF2B5EF4-FFF2-40B4-BE49-F238E27FC236}">
              <a16:creationId xmlns:a16="http://schemas.microsoft.com/office/drawing/2014/main" id="{473971EE-6FB5-4BE5-A6A4-1F7F54C3E988}"/>
            </a:ext>
          </a:extLst>
        </xdr:cNvPr>
        <xdr:cNvSpPr txBox="1"/>
      </xdr:nvSpPr>
      <xdr:spPr>
        <a:xfrm>
          <a:off x="2491220" y="519545"/>
          <a:ext cx="2296020" cy="265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r>
            <a:rPr lang="en-US" sz="1200" b="1">
              <a:solidFill>
                <a:srgbClr val="C00000"/>
              </a:solidFill>
            </a:rPr>
            <a:t>What</a:t>
          </a:r>
          <a:r>
            <a:rPr lang="en-US" sz="1200" b="1" baseline="0">
              <a:solidFill>
                <a:srgbClr val="C00000"/>
              </a:solidFill>
            </a:rPr>
            <a:t> Drives Better Recovery?</a:t>
          </a:r>
          <a:endParaRPr lang="en-US" sz="1200" b="1">
            <a:solidFill>
              <a:srgbClr val="C00000"/>
            </a:solidFill>
          </a:endParaRPr>
        </a:p>
      </xdr:txBody>
    </xdr:sp>
    <xdr:clientData/>
  </xdr:oneCellAnchor>
  <xdr:oneCellAnchor>
    <xdr:from>
      <xdr:col>10</xdr:col>
      <xdr:colOff>284760</xdr:colOff>
      <xdr:row>2</xdr:row>
      <xdr:rowOff>149430</xdr:rowOff>
    </xdr:from>
    <xdr:ext cx="2434068" cy="280205"/>
    <xdr:sp macro="" textlink="">
      <xdr:nvSpPr>
        <xdr:cNvPr id="6" name="TextBox 5">
          <a:extLst>
            <a:ext uri="{FF2B5EF4-FFF2-40B4-BE49-F238E27FC236}">
              <a16:creationId xmlns:a16="http://schemas.microsoft.com/office/drawing/2014/main" id="{A2EEC437-1216-4807-974D-8E2F8E6DEA5A}"/>
            </a:ext>
          </a:extLst>
        </xdr:cNvPr>
        <xdr:cNvSpPr txBox="1"/>
      </xdr:nvSpPr>
      <xdr:spPr>
        <a:xfrm>
          <a:off x="6346124" y="520534"/>
          <a:ext cx="243406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i="1">
              <a:solidFill>
                <a:srgbClr val="C00000"/>
              </a:solidFill>
            </a:rPr>
            <a:t>By</a:t>
          </a:r>
          <a:r>
            <a:rPr lang="en-US" sz="1200" b="1" i="1" baseline="0">
              <a:solidFill>
                <a:srgbClr val="C00000"/>
              </a:solidFill>
            </a:rPr>
            <a:t> Erinle Titilayo</a:t>
          </a:r>
          <a:endParaRPr lang="en-US" sz="1200" b="1" i="1">
            <a:solidFill>
              <a:srgbClr val="C00000"/>
            </a:solidFill>
          </a:endParaRPr>
        </a:p>
      </xdr:txBody>
    </xdr:sp>
    <xdr:clientData/>
  </xdr:oneCellAnchor>
  <xdr:twoCellAnchor>
    <xdr:from>
      <xdr:col>3</xdr:col>
      <xdr:colOff>586716</xdr:colOff>
      <xdr:row>5</xdr:row>
      <xdr:rowOff>111331</xdr:rowOff>
    </xdr:from>
    <xdr:to>
      <xdr:col>7</xdr:col>
      <xdr:colOff>167615</xdr:colOff>
      <xdr:row>9</xdr:row>
      <xdr:rowOff>86590</xdr:rowOff>
    </xdr:to>
    <xdr:sp macro="" textlink="">
      <xdr:nvSpPr>
        <xdr:cNvPr id="11" name="Rectangle 10">
          <a:extLst>
            <a:ext uri="{FF2B5EF4-FFF2-40B4-BE49-F238E27FC236}">
              <a16:creationId xmlns:a16="http://schemas.microsoft.com/office/drawing/2014/main" id="{2EC61420-681C-4B31-BB90-5AFFFEC9C9C5}"/>
            </a:ext>
          </a:extLst>
        </xdr:cNvPr>
        <xdr:cNvSpPr/>
      </xdr:nvSpPr>
      <xdr:spPr>
        <a:xfrm>
          <a:off x="2405125" y="1039091"/>
          <a:ext cx="2005445" cy="717467"/>
        </a:xfrm>
        <a:prstGeom prst="rect">
          <a:avLst/>
        </a:prstGeom>
        <a:solidFill>
          <a:schemeClr val="bg1"/>
        </a:solidFill>
        <a:ln>
          <a:solidFill>
            <a:schemeClr val="bg1">
              <a:lumMod val="85000"/>
            </a:schemeClr>
          </a:solidFill>
        </a:ln>
        <a:effectLst>
          <a:outerShdw blurRad="50800" dist="76200" dir="2700000" sx="103000" sy="103000" algn="tl" rotWithShape="0">
            <a:schemeClr val="bg1">
              <a:lumMod val="50000"/>
              <a:alpha val="22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rgbClr val="006600"/>
              </a:solidFill>
            </a:rPr>
            <a:t>    </a:t>
          </a:r>
          <a:r>
            <a:rPr lang="en-US" sz="1200" b="1">
              <a:solidFill>
                <a:srgbClr val="006600"/>
              </a:solidFill>
            </a:rPr>
            <a:t>Avg</a:t>
          </a:r>
          <a:r>
            <a:rPr lang="en-US" sz="1200" b="1" baseline="0">
              <a:solidFill>
                <a:srgbClr val="006600"/>
              </a:solidFill>
            </a:rPr>
            <a:t> Treatment Cost</a:t>
          </a:r>
          <a:endParaRPr lang="en-US" sz="1200" b="1">
            <a:solidFill>
              <a:srgbClr val="006600"/>
            </a:solidFill>
          </a:endParaRPr>
        </a:p>
      </xdr:txBody>
    </xdr:sp>
    <xdr:clientData/>
  </xdr:twoCellAnchor>
  <xdr:twoCellAnchor>
    <xdr:from>
      <xdr:col>0</xdr:col>
      <xdr:colOff>362689</xdr:colOff>
      <xdr:row>5</xdr:row>
      <xdr:rowOff>123701</xdr:rowOff>
    </xdr:from>
    <xdr:to>
      <xdr:col>3</xdr:col>
      <xdr:colOff>395844</xdr:colOff>
      <xdr:row>9</xdr:row>
      <xdr:rowOff>100073</xdr:rowOff>
    </xdr:to>
    <xdr:sp macro="" textlink="">
      <xdr:nvSpPr>
        <xdr:cNvPr id="15" name="Rectangle 14">
          <a:extLst>
            <a:ext uri="{FF2B5EF4-FFF2-40B4-BE49-F238E27FC236}">
              <a16:creationId xmlns:a16="http://schemas.microsoft.com/office/drawing/2014/main" id="{C405B975-5FBA-4A71-B8FE-55100EFCC7AD}"/>
            </a:ext>
          </a:extLst>
        </xdr:cNvPr>
        <xdr:cNvSpPr/>
      </xdr:nvSpPr>
      <xdr:spPr>
        <a:xfrm>
          <a:off x="362689" y="1051461"/>
          <a:ext cx="1851564" cy="718580"/>
        </a:xfrm>
        <a:prstGeom prst="rect">
          <a:avLst/>
        </a:prstGeom>
        <a:solidFill>
          <a:schemeClr val="bg1"/>
        </a:solidFill>
        <a:ln>
          <a:solidFill>
            <a:schemeClr val="bg1">
              <a:lumMod val="85000"/>
            </a:schemeClr>
          </a:solidFill>
        </a:ln>
        <a:effectLst>
          <a:outerShdw blurRad="50800" dist="76200" dir="2700000" sx="102000" sy="102000" algn="tl" rotWithShape="0">
            <a:schemeClr val="bg1">
              <a:lumMod val="75000"/>
              <a:alpha val="35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p</a:t>
          </a:r>
          <a:r>
            <a:rPr lang="en-US" sz="1200" b="1">
              <a:solidFill>
                <a:srgbClr val="006600"/>
              </a:solidFill>
            </a:rPr>
            <a:t>Patients</a:t>
          </a:r>
          <a:r>
            <a:rPr lang="en-US" sz="1200" b="1" baseline="0">
              <a:solidFill>
                <a:srgbClr val="006600"/>
              </a:solidFill>
            </a:rPr>
            <a:t> Count</a:t>
          </a:r>
          <a:endParaRPr lang="en-US" sz="1200" b="1"/>
        </a:p>
      </xdr:txBody>
    </xdr:sp>
    <xdr:clientData/>
  </xdr:twoCellAnchor>
  <xdr:twoCellAnchor>
    <xdr:from>
      <xdr:col>7</xdr:col>
      <xdr:colOff>325698</xdr:colOff>
      <xdr:row>5</xdr:row>
      <xdr:rowOff>109598</xdr:rowOff>
    </xdr:from>
    <xdr:to>
      <xdr:col>10</xdr:col>
      <xdr:colOff>382848</xdr:colOff>
      <xdr:row>9</xdr:row>
      <xdr:rowOff>86590</xdr:rowOff>
    </xdr:to>
    <xdr:sp macro="" textlink="">
      <xdr:nvSpPr>
        <xdr:cNvPr id="16" name="Rectangle 15">
          <a:extLst>
            <a:ext uri="{FF2B5EF4-FFF2-40B4-BE49-F238E27FC236}">
              <a16:creationId xmlns:a16="http://schemas.microsoft.com/office/drawing/2014/main" id="{69A275F1-F40D-4AB9-9F40-BA00B60C8F96}"/>
            </a:ext>
          </a:extLst>
        </xdr:cNvPr>
        <xdr:cNvSpPr/>
      </xdr:nvSpPr>
      <xdr:spPr>
        <a:xfrm>
          <a:off x="4568653" y="1037358"/>
          <a:ext cx="1875559" cy="719200"/>
        </a:xfrm>
        <a:prstGeom prst="rect">
          <a:avLst/>
        </a:prstGeom>
        <a:solidFill>
          <a:schemeClr val="bg1"/>
        </a:solidFill>
        <a:ln>
          <a:solidFill>
            <a:schemeClr val="bg1">
              <a:lumMod val="85000"/>
            </a:schemeClr>
          </a:solidFill>
        </a:ln>
        <a:effectLst>
          <a:outerShdw blurRad="50800" dist="88900" dir="2700000" sx="101000" sy="101000" algn="tl" rotWithShape="0">
            <a:schemeClr val="bg1">
              <a:lumMod val="50000"/>
              <a:alpha val="3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S</a:t>
          </a:r>
          <a:r>
            <a:rPr lang="en-US" sz="1200" b="1">
              <a:solidFill>
                <a:srgbClr val="006000"/>
              </a:solidFill>
            </a:rPr>
            <a:t>Average Patient Age </a:t>
          </a:r>
          <a:endParaRPr lang="en-US" sz="1200" b="1"/>
        </a:p>
      </xdr:txBody>
    </xdr:sp>
    <xdr:clientData/>
  </xdr:twoCellAnchor>
  <xdr:twoCellAnchor>
    <xdr:from>
      <xdr:col>10</xdr:col>
      <xdr:colOff>556160</xdr:colOff>
      <xdr:row>5</xdr:row>
      <xdr:rowOff>102919</xdr:rowOff>
    </xdr:from>
    <xdr:to>
      <xdr:col>13</xdr:col>
      <xdr:colOff>346610</xdr:colOff>
      <xdr:row>9</xdr:row>
      <xdr:rowOff>86590</xdr:rowOff>
    </xdr:to>
    <xdr:sp macro="" textlink="">
      <xdr:nvSpPr>
        <xdr:cNvPr id="17" name="Rectangle 16">
          <a:extLst>
            <a:ext uri="{FF2B5EF4-FFF2-40B4-BE49-F238E27FC236}">
              <a16:creationId xmlns:a16="http://schemas.microsoft.com/office/drawing/2014/main" id="{C9B4987C-3820-4F01-844B-6319BD403B7C}"/>
            </a:ext>
          </a:extLst>
        </xdr:cNvPr>
        <xdr:cNvSpPr/>
      </xdr:nvSpPr>
      <xdr:spPr>
        <a:xfrm>
          <a:off x="6617524" y="1030679"/>
          <a:ext cx="1608859" cy="725879"/>
        </a:xfrm>
        <a:prstGeom prst="rect">
          <a:avLst/>
        </a:prstGeom>
        <a:solidFill>
          <a:schemeClr val="bg1"/>
        </a:solidFill>
        <a:ln>
          <a:solidFill>
            <a:schemeClr val="bg1">
              <a:lumMod val="85000"/>
            </a:schemeClr>
          </a:solidFill>
        </a:ln>
        <a:effectLst>
          <a:outerShdw blurRad="50800" dist="114300" dir="2700000" algn="tl" rotWithShape="0">
            <a:prstClr val="black">
              <a:alpha val="14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6000"/>
              </a:solidFill>
            </a:rPr>
            <a:t>     Avg</a:t>
          </a:r>
          <a:r>
            <a:rPr lang="en-US" sz="1200" b="1" baseline="0">
              <a:solidFill>
                <a:srgbClr val="006000"/>
              </a:solidFill>
            </a:rPr>
            <a:t> Stay(Days)</a:t>
          </a:r>
          <a:endParaRPr lang="en-US" sz="1200" b="1">
            <a:solidFill>
              <a:srgbClr val="006000"/>
            </a:solidFill>
          </a:endParaRPr>
        </a:p>
      </xdr:txBody>
    </xdr:sp>
    <xdr:clientData/>
  </xdr:twoCellAnchor>
  <xdr:twoCellAnchor>
    <xdr:from>
      <xdr:col>13</xdr:col>
      <xdr:colOff>548488</xdr:colOff>
      <xdr:row>5</xdr:row>
      <xdr:rowOff>90547</xdr:rowOff>
    </xdr:from>
    <xdr:to>
      <xdr:col>17</xdr:col>
      <xdr:colOff>277423</xdr:colOff>
      <xdr:row>9</xdr:row>
      <xdr:rowOff>98960</xdr:rowOff>
    </xdr:to>
    <xdr:sp macro="" textlink="">
      <xdr:nvSpPr>
        <xdr:cNvPr id="18" name="Rectangle 17">
          <a:extLst>
            <a:ext uri="{FF2B5EF4-FFF2-40B4-BE49-F238E27FC236}">
              <a16:creationId xmlns:a16="http://schemas.microsoft.com/office/drawing/2014/main" id="{608DF88B-33BB-4E78-A458-903DB679FA97}"/>
            </a:ext>
          </a:extLst>
        </xdr:cNvPr>
        <xdr:cNvSpPr/>
      </xdr:nvSpPr>
      <xdr:spPr>
        <a:xfrm>
          <a:off x="8428261" y="1018307"/>
          <a:ext cx="2153480" cy="750621"/>
        </a:xfrm>
        <a:prstGeom prst="rect">
          <a:avLst/>
        </a:prstGeom>
        <a:solidFill>
          <a:schemeClr val="bg1"/>
        </a:solidFill>
        <a:ln>
          <a:solidFill>
            <a:schemeClr val="bg1">
              <a:lumMod val="85000"/>
            </a:schemeClr>
          </a:solidFill>
        </a:ln>
        <a:effectLst>
          <a:outerShdw blurRad="50800" dist="114300" dir="2700000" algn="tl"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200" b="1">
              <a:solidFill>
                <a:srgbClr val="006000"/>
              </a:solidFill>
            </a:rPr>
            <a:t>Avg</a:t>
          </a:r>
          <a:r>
            <a:rPr lang="en-US" sz="1200" b="1" baseline="0">
              <a:solidFill>
                <a:srgbClr val="006000"/>
              </a:solidFill>
            </a:rPr>
            <a:t> Recovery Score</a:t>
          </a:r>
          <a:endParaRPr lang="en-US" sz="1200" b="1"/>
        </a:p>
      </xdr:txBody>
    </xdr:sp>
    <xdr:clientData/>
  </xdr:twoCellAnchor>
  <xdr:twoCellAnchor editAs="oneCell">
    <xdr:from>
      <xdr:col>0</xdr:col>
      <xdr:colOff>487695</xdr:colOff>
      <xdr:row>7</xdr:row>
      <xdr:rowOff>512</xdr:rowOff>
    </xdr:from>
    <xdr:to>
      <xdr:col>1</xdr:col>
      <xdr:colOff>198671</xdr:colOff>
      <xdr:row>9</xdr:row>
      <xdr:rowOff>23874</xdr:rowOff>
    </xdr:to>
    <xdr:pic>
      <xdr:nvPicPr>
        <xdr:cNvPr id="10" name="Picture 9">
          <a:extLst>
            <a:ext uri="{FF2B5EF4-FFF2-40B4-BE49-F238E27FC236}">
              <a16:creationId xmlns:a16="http://schemas.microsoft.com/office/drawing/2014/main" id="{40C91EF1-A694-40FA-A6FF-A85A5FC2603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668" t="19276" r="26514" b="45662"/>
        <a:stretch/>
      </xdr:blipFill>
      <xdr:spPr>
        <a:xfrm>
          <a:off x="487695" y="1299376"/>
          <a:ext cx="317112" cy="394466"/>
        </a:xfrm>
        <a:prstGeom prst="rect">
          <a:avLst/>
        </a:prstGeom>
      </xdr:spPr>
    </xdr:pic>
    <xdr:clientData/>
  </xdr:twoCellAnchor>
  <xdr:oneCellAnchor>
    <xdr:from>
      <xdr:col>1</xdr:col>
      <xdr:colOff>330282</xdr:colOff>
      <xdr:row>6</xdr:row>
      <xdr:rowOff>172316</xdr:rowOff>
    </xdr:from>
    <xdr:ext cx="628650" cy="361949"/>
    <xdr:sp macro="" textlink="">
      <xdr:nvSpPr>
        <xdr:cNvPr id="19" name="TextBox 18">
          <a:extLst>
            <a:ext uri="{FF2B5EF4-FFF2-40B4-BE49-F238E27FC236}">
              <a16:creationId xmlns:a16="http://schemas.microsoft.com/office/drawing/2014/main" id="{B378405D-5F5F-44F3-A63F-86A3AD0F0C9B}"/>
            </a:ext>
          </a:extLst>
        </xdr:cNvPr>
        <xdr:cNvSpPr txBox="1"/>
      </xdr:nvSpPr>
      <xdr:spPr>
        <a:xfrm>
          <a:off x="936418" y="1285628"/>
          <a:ext cx="628650" cy="3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rgbClr val="006600"/>
              </a:solidFill>
            </a:rPr>
            <a:t>138</a:t>
          </a:r>
        </a:p>
      </xdr:txBody>
    </xdr:sp>
    <xdr:clientData/>
  </xdr:oneCellAnchor>
  <xdr:twoCellAnchor editAs="oneCell">
    <xdr:from>
      <xdr:col>4</xdr:col>
      <xdr:colOff>83375</xdr:colOff>
      <xdr:row>7</xdr:row>
      <xdr:rowOff>41935</xdr:rowOff>
    </xdr:from>
    <xdr:to>
      <xdr:col>4</xdr:col>
      <xdr:colOff>594261</xdr:colOff>
      <xdr:row>9</xdr:row>
      <xdr:rowOff>22885</xdr:rowOff>
    </xdr:to>
    <xdr:pic>
      <xdr:nvPicPr>
        <xdr:cNvPr id="21" name="Picture 20">
          <a:extLst>
            <a:ext uri="{FF2B5EF4-FFF2-40B4-BE49-F238E27FC236}">
              <a16:creationId xmlns:a16="http://schemas.microsoft.com/office/drawing/2014/main" id="{375E3F5C-461B-4CA0-AA51-6CC4A408A586}"/>
            </a:ext>
          </a:extLst>
        </xdr:cNvPr>
        <xdr:cNvPicPr>
          <a:picLocks noChangeAspect="1"/>
        </xdr:cNvPicPr>
      </xdr:nvPicPr>
      <xdr:blipFill rotWithShape="1">
        <a:blip xmlns:r="http://schemas.openxmlformats.org/officeDocument/2006/relationships" r:embed="rId3" cstate="print">
          <a:alphaModFix/>
          <a:extLst>
            <a:ext uri="{BEBA8EAE-BF5A-486C-A8C5-ECC9F3942E4B}">
              <a14:imgProps xmlns:a14="http://schemas.microsoft.com/office/drawing/2010/main">
                <a14:imgLayer r:embed="rId4">
                  <a14:imgEffect>
                    <a14:saturation sat="400000"/>
                  </a14:imgEffect>
                  <a14:imgEffect>
                    <a14:brightnessContrast contrast="-20000"/>
                  </a14:imgEffect>
                </a14:imgLayer>
              </a14:imgProps>
            </a:ext>
            <a:ext uri="{28A0092B-C50C-407E-A947-70E740481C1C}">
              <a14:useLocalDpi xmlns:a14="http://schemas.microsoft.com/office/drawing/2010/main" val="0"/>
            </a:ext>
          </a:extLst>
        </a:blip>
        <a:srcRect l="19677" t="16744" r="19864" b="30233"/>
        <a:stretch/>
      </xdr:blipFill>
      <xdr:spPr>
        <a:xfrm>
          <a:off x="2507920" y="1340799"/>
          <a:ext cx="510886" cy="352054"/>
        </a:xfrm>
        <a:prstGeom prst="rect">
          <a:avLst/>
        </a:prstGeom>
      </xdr:spPr>
    </xdr:pic>
    <xdr:clientData/>
  </xdr:twoCellAnchor>
  <xdr:oneCellAnchor>
    <xdr:from>
      <xdr:col>4</xdr:col>
      <xdr:colOff>506681</xdr:colOff>
      <xdr:row>6</xdr:row>
      <xdr:rowOff>180852</xdr:rowOff>
    </xdr:from>
    <xdr:ext cx="1141684" cy="374141"/>
    <xdr:sp macro="" textlink="">
      <xdr:nvSpPr>
        <xdr:cNvPr id="22" name="TextBox 21">
          <a:extLst>
            <a:ext uri="{FF2B5EF4-FFF2-40B4-BE49-F238E27FC236}">
              <a16:creationId xmlns:a16="http://schemas.microsoft.com/office/drawing/2014/main" id="{3344710B-31B0-4446-BF24-DE9C633E1D6E}"/>
            </a:ext>
          </a:extLst>
        </xdr:cNvPr>
        <xdr:cNvSpPr txBox="1"/>
      </xdr:nvSpPr>
      <xdr:spPr>
        <a:xfrm>
          <a:off x="2931226" y="1294164"/>
          <a:ext cx="114168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rgbClr val="006000"/>
              </a:solidFill>
            </a:rPr>
            <a:t>77778.57</a:t>
          </a:r>
        </a:p>
      </xdr:txBody>
    </xdr:sp>
    <xdr:clientData/>
  </xdr:oneCellAnchor>
  <xdr:twoCellAnchor editAs="oneCell">
    <xdr:from>
      <xdr:col>7</xdr:col>
      <xdr:colOff>548121</xdr:colOff>
      <xdr:row>6</xdr:row>
      <xdr:rowOff>173305</xdr:rowOff>
    </xdr:from>
    <xdr:to>
      <xdr:col>8</xdr:col>
      <xdr:colOff>256310</xdr:colOff>
      <xdr:row>8</xdr:row>
      <xdr:rowOff>174893</xdr:rowOff>
    </xdr:to>
    <xdr:pic>
      <xdr:nvPicPr>
        <xdr:cNvPr id="26" name="Picture 25">
          <a:extLst>
            <a:ext uri="{FF2B5EF4-FFF2-40B4-BE49-F238E27FC236}">
              <a16:creationId xmlns:a16="http://schemas.microsoft.com/office/drawing/2014/main" id="{ACFBC01E-8D99-47BC-A288-8664DEC2BAD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7999" t="32203" r="26527" b="33145"/>
        <a:stretch/>
      </xdr:blipFill>
      <xdr:spPr>
        <a:xfrm>
          <a:off x="4791076" y="1286617"/>
          <a:ext cx="314325" cy="372692"/>
        </a:xfrm>
        <a:prstGeom prst="rect">
          <a:avLst/>
        </a:prstGeom>
      </xdr:spPr>
    </xdr:pic>
    <xdr:clientData/>
  </xdr:twoCellAnchor>
  <xdr:twoCellAnchor editAs="oneCell">
    <xdr:from>
      <xdr:col>11</xdr:col>
      <xdr:colOff>134217</xdr:colOff>
      <xdr:row>7</xdr:row>
      <xdr:rowOff>6804</xdr:rowOff>
    </xdr:from>
    <xdr:to>
      <xdr:col>11</xdr:col>
      <xdr:colOff>429492</xdr:colOff>
      <xdr:row>8</xdr:row>
      <xdr:rowOff>144731</xdr:rowOff>
    </xdr:to>
    <xdr:pic>
      <xdr:nvPicPr>
        <xdr:cNvPr id="30" name="Picture 29">
          <a:extLst>
            <a:ext uri="{FF2B5EF4-FFF2-40B4-BE49-F238E27FC236}">
              <a16:creationId xmlns:a16="http://schemas.microsoft.com/office/drawing/2014/main" id="{2D64A748-D4C9-48E4-85CB-52F4D2700E0A}"/>
            </a:ext>
          </a:extLst>
        </xdr:cNvPr>
        <xdr:cNvPicPr>
          <a:picLocks noChangeAspect="1"/>
        </xdr:cNvPicPr>
      </xdr:nvPicPr>
      <xdr:blipFill rotWithShape="1">
        <a:blip xmlns:r="http://schemas.openxmlformats.org/officeDocument/2006/relationships" r:embed="rId6" cstate="print">
          <a:alphaModFix/>
          <a:extLst>
            <a:ext uri="{BEBA8EAE-BF5A-486C-A8C5-ECC9F3942E4B}">
              <a14:imgProps xmlns:a14="http://schemas.microsoft.com/office/drawing/2010/main">
                <a14:imgLayer r:embed="rId7">
                  <a14:imgEffect>
                    <a14:sharpenSoften amount="50000"/>
                  </a14:imgEffect>
                  <a14:imgEffect>
                    <a14:saturation sat="400000"/>
                  </a14:imgEffect>
                </a14:imgLayer>
              </a14:imgProps>
            </a:ext>
            <a:ext uri="{28A0092B-C50C-407E-A947-70E740481C1C}">
              <a14:useLocalDpi xmlns:a14="http://schemas.microsoft.com/office/drawing/2010/main" val="0"/>
            </a:ext>
          </a:extLst>
        </a:blip>
        <a:srcRect l="22750" t="25001" r="23787" b="34090"/>
        <a:stretch/>
      </xdr:blipFill>
      <xdr:spPr>
        <a:xfrm>
          <a:off x="6801717" y="1305668"/>
          <a:ext cx="295275" cy="323479"/>
        </a:xfrm>
        <a:prstGeom prst="rect">
          <a:avLst/>
        </a:prstGeom>
      </xdr:spPr>
    </xdr:pic>
    <xdr:clientData/>
  </xdr:twoCellAnchor>
  <xdr:twoCellAnchor editAs="oneCell">
    <xdr:from>
      <xdr:col>14</xdr:col>
      <xdr:colOff>226499</xdr:colOff>
      <xdr:row>6</xdr:row>
      <xdr:rowOff>159946</xdr:rowOff>
    </xdr:from>
    <xdr:to>
      <xdr:col>14</xdr:col>
      <xdr:colOff>559873</xdr:colOff>
      <xdr:row>8</xdr:row>
      <xdr:rowOff>159946</xdr:rowOff>
    </xdr:to>
    <xdr:pic>
      <xdr:nvPicPr>
        <xdr:cNvPr id="32" name="Picture 31">
          <a:extLst>
            <a:ext uri="{FF2B5EF4-FFF2-40B4-BE49-F238E27FC236}">
              <a16:creationId xmlns:a16="http://schemas.microsoft.com/office/drawing/2014/main" id="{B0A2944A-F92F-416E-A8F1-C43A888F70BD}"/>
            </a:ext>
          </a:extLst>
        </xdr:cNvPr>
        <xdr:cNvPicPr>
          <a:picLocks noChangeAspect="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rightnessContrast bright="20000" contrast="40000"/>
                  </a14:imgEffect>
                </a14:imgLayer>
              </a14:imgProps>
            </a:ext>
            <a:ext uri="{28A0092B-C50C-407E-A947-70E740481C1C}">
              <a14:useLocalDpi xmlns:a14="http://schemas.microsoft.com/office/drawing/2010/main" val="0"/>
            </a:ext>
          </a:extLst>
        </a:blip>
        <a:srcRect l="12665" t="19737" r="17689" b="26315"/>
        <a:stretch/>
      </xdr:blipFill>
      <xdr:spPr>
        <a:xfrm>
          <a:off x="8712408" y="1273258"/>
          <a:ext cx="333374" cy="371104"/>
        </a:xfrm>
        <a:prstGeom prst="rect">
          <a:avLst/>
        </a:prstGeom>
      </xdr:spPr>
    </xdr:pic>
    <xdr:clientData/>
  </xdr:twoCellAnchor>
  <xdr:oneCellAnchor>
    <xdr:from>
      <xdr:col>14</xdr:col>
      <xdr:colOff>534265</xdr:colOff>
      <xdr:row>6</xdr:row>
      <xdr:rowOff>152277</xdr:rowOff>
    </xdr:from>
    <xdr:ext cx="895350" cy="374141"/>
    <xdr:sp macro="" textlink="">
      <xdr:nvSpPr>
        <xdr:cNvPr id="33" name="TextBox 32">
          <a:extLst>
            <a:ext uri="{FF2B5EF4-FFF2-40B4-BE49-F238E27FC236}">
              <a16:creationId xmlns:a16="http://schemas.microsoft.com/office/drawing/2014/main" id="{B73D8042-563D-43B6-AC38-3E880D3D80DA}"/>
            </a:ext>
          </a:extLst>
        </xdr:cNvPr>
        <xdr:cNvSpPr txBox="1"/>
      </xdr:nvSpPr>
      <xdr:spPr>
        <a:xfrm>
          <a:off x="9020174" y="1265589"/>
          <a:ext cx="8953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rgbClr val="006000"/>
              </a:solidFill>
            </a:rPr>
            <a:t>71.21</a:t>
          </a:r>
        </a:p>
      </xdr:txBody>
    </xdr:sp>
    <xdr:clientData/>
  </xdr:oneCellAnchor>
  <xdr:oneCellAnchor>
    <xdr:from>
      <xdr:col>11</xdr:col>
      <xdr:colOff>473281</xdr:colOff>
      <xdr:row>6</xdr:row>
      <xdr:rowOff>153266</xdr:rowOff>
    </xdr:from>
    <xdr:ext cx="714426" cy="374141"/>
    <xdr:sp macro="" textlink="">
      <xdr:nvSpPr>
        <xdr:cNvPr id="34" name="TextBox 33">
          <a:extLst>
            <a:ext uri="{FF2B5EF4-FFF2-40B4-BE49-F238E27FC236}">
              <a16:creationId xmlns:a16="http://schemas.microsoft.com/office/drawing/2014/main" id="{FB160554-6002-4998-8E0C-C13BE2AED5EE}"/>
            </a:ext>
          </a:extLst>
        </xdr:cNvPr>
        <xdr:cNvSpPr txBox="1"/>
      </xdr:nvSpPr>
      <xdr:spPr>
        <a:xfrm>
          <a:off x="7140781" y="1266578"/>
          <a:ext cx="71442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rgbClr val="006000"/>
              </a:solidFill>
            </a:rPr>
            <a:t>16.15</a:t>
          </a:r>
        </a:p>
      </xdr:txBody>
    </xdr:sp>
    <xdr:clientData/>
  </xdr:oneCellAnchor>
  <xdr:oneCellAnchor>
    <xdr:from>
      <xdr:col>8</xdr:col>
      <xdr:colOff>273504</xdr:colOff>
      <xdr:row>6</xdr:row>
      <xdr:rowOff>159946</xdr:rowOff>
    </xdr:from>
    <xdr:ext cx="1047750" cy="352425"/>
    <xdr:sp macro="" textlink="">
      <xdr:nvSpPr>
        <xdr:cNvPr id="35" name="TextBox 34">
          <a:extLst>
            <a:ext uri="{FF2B5EF4-FFF2-40B4-BE49-F238E27FC236}">
              <a16:creationId xmlns:a16="http://schemas.microsoft.com/office/drawing/2014/main" id="{1A0DD52C-3E11-4EB4-9A69-165336DC8C43}"/>
            </a:ext>
          </a:extLst>
        </xdr:cNvPr>
        <xdr:cNvSpPr txBox="1"/>
      </xdr:nvSpPr>
      <xdr:spPr>
        <a:xfrm>
          <a:off x="5122595" y="1273258"/>
          <a:ext cx="1047750"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rgbClr val="006000"/>
              </a:solidFill>
            </a:rPr>
            <a:t>41.32</a:t>
          </a:r>
        </a:p>
      </xdr:txBody>
    </xdr:sp>
    <xdr:clientData/>
  </xdr:oneCellAnchor>
  <xdr:twoCellAnchor>
    <xdr:from>
      <xdr:col>0</xdr:col>
      <xdr:colOff>195447</xdr:colOff>
      <xdr:row>10</xdr:row>
      <xdr:rowOff>103910</xdr:rowOff>
    </xdr:from>
    <xdr:to>
      <xdr:col>5</xdr:col>
      <xdr:colOff>259772</xdr:colOff>
      <xdr:row>25</xdr:row>
      <xdr:rowOff>29765</xdr:rowOff>
    </xdr:to>
    <xdr:graphicFrame macro="">
      <xdr:nvGraphicFramePr>
        <xdr:cNvPr id="38" name="Chart 37">
          <a:extLst>
            <a:ext uri="{FF2B5EF4-FFF2-40B4-BE49-F238E27FC236}">
              <a16:creationId xmlns:a16="http://schemas.microsoft.com/office/drawing/2014/main" id="{51944096-4A60-4F2A-982F-FEE9227AC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418131</xdr:colOff>
      <xdr:row>10</xdr:row>
      <xdr:rowOff>109141</xdr:rowOff>
    </xdr:from>
    <xdr:to>
      <xdr:col>11</xdr:col>
      <xdr:colOff>576881</xdr:colOff>
      <xdr:row>24</xdr:row>
      <xdr:rowOff>178594</xdr:rowOff>
    </xdr:to>
    <xdr:graphicFrame macro="">
      <xdr:nvGraphicFramePr>
        <xdr:cNvPr id="39" name="Chart 38">
          <a:extLst>
            <a:ext uri="{FF2B5EF4-FFF2-40B4-BE49-F238E27FC236}">
              <a16:creationId xmlns:a16="http://schemas.microsoft.com/office/drawing/2014/main" id="{9F11256D-DAB4-4D90-AC89-A40A7C82F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74989</xdr:colOff>
      <xdr:row>10</xdr:row>
      <xdr:rowOff>131433</xdr:rowOff>
    </xdr:from>
    <xdr:to>
      <xdr:col>17</xdr:col>
      <xdr:colOff>445322</xdr:colOff>
      <xdr:row>24</xdr:row>
      <xdr:rowOff>171119</xdr:rowOff>
    </xdr:to>
    <xdr:graphicFrame macro="">
      <xdr:nvGraphicFramePr>
        <xdr:cNvPr id="40" name="Chart 39">
          <a:extLst>
            <a:ext uri="{FF2B5EF4-FFF2-40B4-BE49-F238E27FC236}">
              <a16:creationId xmlns:a16="http://schemas.microsoft.com/office/drawing/2014/main" id="{E29BB4BB-5FF4-4109-AAF7-FD6E02008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175887</xdr:colOff>
      <xdr:row>25</xdr:row>
      <xdr:rowOff>185321</xdr:rowOff>
    </xdr:from>
    <xdr:to>
      <xdr:col>7</xdr:col>
      <xdr:colOff>61849</xdr:colOff>
      <xdr:row>38</xdr:row>
      <xdr:rowOff>12370</xdr:rowOff>
    </xdr:to>
    <xdr:graphicFrame macro="">
      <xdr:nvGraphicFramePr>
        <xdr:cNvPr id="41" name="Chart 40">
          <a:extLst>
            <a:ext uri="{FF2B5EF4-FFF2-40B4-BE49-F238E27FC236}">
              <a16:creationId xmlns:a16="http://schemas.microsoft.com/office/drawing/2014/main" id="{6A765067-6E27-4CF0-98CF-71B14AEEC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195731</xdr:colOff>
      <xdr:row>26</xdr:row>
      <xdr:rowOff>1</xdr:rowOff>
    </xdr:from>
    <xdr:to>
      <xdr:col>11</xdr:col>
      <xdr:colOff>395843</xdr:colOff>
      <xdr:row>38</xdr:row>
      <xdr:rowOff>12370</xdr:rowOff>
    </xdr:to>
    <xdr:graphicFrame macro="">
      <xdr:nvGraphicFramePr>
        <xdr:cNvPr id="42" name="Chart 41">
          <a:extLst>
            <a:ext uri="{FF2B5EF4-FFF2-40B4-BE49-F238E27FC236}">
              <a16:creationId xmlns:a16="http://schemas.microsoft.com/office/drawing/2014/main" id="{F782F717-C627-454B-AFC7-9265FE401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544797</xdr:colOff>
      <xdr:row>25</xdr:row>
      <xdr:rowOff>178207</xdr:rowOff>
    </xdr:from>
    <xdr:to>
      <xdr:col>17</xdr:col>
      <xdr:colOff>482435</xdr:colOff>
      <xdr:row>38</xdr:row>
      <xdr:rowOff>24740</xdr:rowOff>
    </xdr:to>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7C713FC4-8410-47D5-B8A8-F8AD7166AB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212297" y="4817006"/>
              <a:ext cx="3574456" cy="22587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32729</xdr:colOff>
      <xdr:row>1</xdr:row>
      <xdr:rowOff>111588</xdr:rowOff>
    </xdr:from>
    <xdr:to>
      <xdr:col>21</xdr:col>
      <xdr:colOff>224419</xdr:colOff>
      <xdr:row>7</xdr:row>
      <xdr:rowOff>131432</xdr:rowOff>
    </xdr:to>
    <mc:AlternateContent xmlns:mc="http://schemas.openxmlformats.org/markup-compatibility/2006">
      <mc:Choice xmlns:a14="http://schemas.microsoft.com/office/drawing/2010/main" Requires="a14">
        <xdr:graphicFrame macro="">
          <xdr:nvGraphicFramePr>
            <xdr:cNvPr id="44" name="Gender 1">
              <a:extLst>
                <a:ext uri="{FF2B5EF4-FFF2-40B4-BE49-F238E27FC236}">
                  <a16:creationId xmlns:a16="http://schemas.microsoft.com/office/drawing/2014/main" id="{68D6FAF9-C1D4-425D-AED2-58A1523DFBC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943184" y="297140"/>
              <a:ext cx="2010099" cy="1133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20353</xdr:colOff>
      <xdr:row>8</xdr:row>
      <xdr:rowOff>47162</xdr:rowOff>
    </xdr:from>
    <xdr:to>
      <xdr:col>21</xdr:col>
      <xdr:colOff>228713</xdr:colOff>
      <xdr:row>17</xdr:row>
      <xdr:rowOff>86849</xdr:rowOff>
    </xdr:to>
    <mc:AlternateContent xmlns:mc="http://schemas.openxmlformats.org/markup-compatibility/2006">
      <mc:Choice xmlns:a14="http://schemas.microsoft.com/office/drawing/2010/main" Requires="a14">
        <xdr:graphicFrame macro="">
          <xdr:nvGraphicFramePr>
            <xdr:cNvPr id="45" name="Doctor Name 1">
              <a:extLst>
                <a:ext uri="{FF2B5EF4-FFF2-40B4-BE49-F238E27FC236}">
                  <a16:creationId xmlns:a16="http://schemas.microsoft.com/office/drawing/2014/main" id="{F3E7DA60-7865-41E1-B77C-6F3650FBE100}"/>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dr:sp macro="" textlink="">
          <xdr:nvSpPr>
            <xdr:cNvPr id="0" name=""/>
            <xdr:cNvSpPr>
              <a:spLocks noTextEdit="1"/>
            </xdr:cNvSpPr>
          </xdr:nvSpPr>
          <xdr:spPr>
            <a:xfrm>
              <a:off x="10930808" y="1531578"/>
              <a:ext cx="2026769" cy="1709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37621</xdr:colOff>
      <xdr:row>26</xdr:row>
      <xdr:rowOff>101923</xdr:rowOff>
    </xdr:from>
    <xdr:to>
      <xdr:col>21</xdr:col>
      <xdr:colOff>226135</xdr:colOff>
      <xdr:row>37</xdr:row>
      <xdr:rowOff>62236</xdr:rowOff>
    </xdr:to>
    <mc:AlternateContent xmlns:mc="http://schemas.openxmlformats.org/markup-compatibility/2006">
      <mc:Choice xmlns:a14="http://schemas.microsoft.com/office/drawing/2010/main" Requires="a14">
        <xdr:graphicFrame macro="">
          <xdr:nvGraphicFramePr>
            <xdr:cNvPr id="46" name="Department 1">
              <a:extLst>
                <a:ext uri="{FF2B5EF4-FFF2-40B4-BE49-F238E27FC236}">
                  <a16:creationId xmlns:a16="http://schemas.microsoft.com/office/drawing/2014/main" id="{E0AD98E8-1AEE-4AF2-A108-92E2BC8B1C4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948076" y="4926274"/>
              <a:ext cx="2006923" cy="2001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22801</xdr:colOff>
      <xdr:row>18</xdr:row>
      <xdr:rowOff>24998</xdr:rowOff>
    </xdr:from>
    <xdr:to>
      <xdr:col>21</xdr:col>
      <xdr:colOff>221238</xdr:colOff>
      <xdr:row>25</xdr:row>
      <xdr:rowOff>159749</xdr:rowOff>
    </xdr:to>
    <mc:AlternateContent xmlns:mc="http://schemas.openxmlformats.org/markup-compatibility/2006">
      <mc:Choice xmlns:a14="http://schemas.microsoft.com/office/drawing/2010/main" Requires="a14">
        <xdr:graphicFrame macro="">
          <xdr:nvGraphicFramePr>
            <xdr:cNvPr id="47" name="Treatment Type 1">
              <a:extLst>
                <a:ext uri="{FF2B5EF4-FFF2-40B4-BE49-F238E27FC236}">
                  <a16:creationId xmlns:a16="http://schemas.microsoft.com/office/drawing/2014/main" id="{00367BCC-73C7-4E5B-9CD1-4ADE076B78E9}"/>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dr:sp macro="" textlink="">
          <xdr:nvSpPr>
            <xdr:cNvPr id="0" name=""/>
            <xdr:cNvSpPr>
              <a:spLocks noTextEdit="1"/>
            </xdr:cNvSpPr>
          </xdr:nvSpPr>
          <xdr:spPr>
            <a:xfrm>
              <a:off x="10933256" y="3364933"/>
              <a:ext cx="2016846" cy="1433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7.617372685185" createdVersion="7" refreshedVersion="7" minRefreshableVersion="3" recordCount="200" xr:uid="{00000000-000A-0000-FFFF-FFFF05000000}">
  <cacheSource type="worksheet">
    <worksheetSource name="Table2_2"/>
  </cacheSource>
  <cacheFields count="9">
    <cacheField name="Patient ID" numFmtId="0">
      <sharedItems/>
    </cacheField>
    <cacheField name="Department" numFmtId="0">
      <sharedItems count="6">
        <s v="Gastroenterology"/>
        <s v="Pediatrics"/>
        <s v="Orthopedics"/>
        <s v="Cardiology"/>
        <s v="Neurology"/>
        <s v="Oncology"/>
      </sharedItems>
    </cacheField>
    <cacheField name="Treatment Type" numFmtId="0">
      <sharedItems count="4">
        <s v="Therapy"/>
        <s v="Medication"/>
        <s v="Observation"/>
        <s v="Surgery"/>
      </sharedItems>
    </cacheField>
    <cacheField name="Doctor Name" numFmtId="0">
      <sharedItems count="5">
        <s v="Dr. L. Khan"/>
        <s v="Dr. M. Patel"/>
        <s v="Dr. T. Mehta"/>
        <s v="Dr. A. Sharma"/>
        <s v="Dr. R. Singh"/>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Treatment Cost" numFmtId="0">
      <sharedItems containsSemiMixedTypes="0" containsString="0" containsNumber="1" minValue="5444.8"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s>
  <extLst>
    <ext xmlns:x14="http://schemas.microsoft.com/office/spreadsheetml/2009/9/main" uri="{725AE2AE-9491-48be-B2B4-4EB974FC3084}">
      <x14:pivotCacheDefinition pivotCacheId="6314077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8.528746296295" createdVersion="7" refreshedVersion="7" minRefreshableVersion="3" recordCount="38" xr:uid="{9A652BA9-CDD6-499C-A7BB-BE6540F02231}">
  <cacheSource type="worksheet">
    <worksheetSource name="Table4"/>
  </cacheSource>
  <cacheFields count="11">
    <cacheField name="Patient ID" numFmtId="0">
      <sharedItems/>
    </cacheField>
    <cacheField name="Department" numFmtId="0">
      <sharedItems/>
    </cacheField>
    <cacheField name="Treatment Type" numFmtId="0">
      <sharedItems/>
    </cacheField>
    <cacheField name="Doctor Name" numFmtId="0">
      <sharedItems/>
    </cacheField>
    <cacheField name="Gender" numFmtId="0">
      <sharedItems/>
    </cacheField>
    <cacheField name="Age" numFmtId="0">
      <sharedItems containsSemiMixedTypes="0" containsString="0" containsNumber="1" containsInteger="1" minValue="1" maxValue="88"/>
    </cacheField>
    <cacheField name="Treatment Cost" numFmtId="0">
      <sharedItems containsSemiMixedTypes="0" containsString="0" containsNumber="1" minValue="8578.83"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2" maxValue="100"/>
    </cacheField>
    <cacheField name="Treatment Cost Category" numFmtId="0">
      <sharedItems count="2">
        <s v="High Cost"/>
        <s v="Low Cost"/>
      </sharedItems>
    </cacheField>
    <cacheField name="Age Group Category" numFmtId="0">
      <sharedItems count="8">
        <s v="Senior"/>
        <s v="Middle-aged"/>
        <s v="Elderly"/>
        <s v="Young Adult"/>
        <s v="Adult"/>
        <s v="Child"/>
        <s v="Infant/Toddler"/>
        <s v="Teenag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s v="P1001"/>
    <x v="0"/>
    <x v="0"/>
    <x v="0"/>
    <x v="0"/>
    <n v="12"/>
    <n v="68632.97"/>
    <n v="21"/>
    <n v="82"/>
  </r>
  <r>
    <s v="P1002"/>
    <x v="1"/>
    <x v="1"/>
    <x v="1"/>
    <x v="1"/>
    <n v="52"/>
    <n v="10231.42"/>
    <n v="20"/>
    <n v="42"/>
  </r>
  <r>
    <s v="P1003"/>
    <x v="1"/>
    <x v="0"/>
    <x v="0"/>
    <x v="1"/>
    <n v="79"/>
    <n v="10160.24"/>
    <n v="2"/>
    <n v="72"/>
  </r>
  <r>
    <s v="P1004"/>
    <x v="1"/>
    <x v="0"/>
    <x v="0"/>
    <x v="0"/>
    <n v="23"/>
    <n v="103508.96"/>
    <n v="20"/>
    <n v="50"/>
  </r>
  <r>
    <s v="P1005"/>
    <x v="2"/>
    <x v="1"/>
    <x v="2"/>
    <x v="0"/>
    <n v="7"/>
    <n v="143427.51999999999"/>
    <n v="6"/>
    <n v="43"/>
  </r>
  <r>
    <s v="P1006"/>
    <x v="3"/>
    <x v="1"/>
    <x v="3"/>
    <x v="0"/>
    <n v="78"/>
    <n v="146252.19"/>
    <n v="9"/>
    <n v="41"/>
  </r>
  <r>
    <s v="P1007"/>
    <x v="3"/>
    <x v="2"/>
    <x v="1"/>
    <x v="2"/>
    <n v="30"/>
    <n v="54393.48"/>
    <n v="1"/>
    <n v="42"/>
  </r>
  <r>
    <s v="P1008"/>
    <x v="4"/>
    <x v="2"/>
    <x v="4"/>
    <x v="2"/>
    <n v="68"/>
    <n v="30452.22"/>
    <n v="6"/>
    <n v="77"/>
  </r>
  <r>
    <s v="P1009"/>
    <x v="0"/>
    <x v="2"/>
    <x v="0"/>
    <x v="2"/>
    <n v="41"/>
    <n v="79517.25"/>
    <n v="9"/>
    <n v="62"/>
  </r>
  <r>
    <s v="P1010"/>
    <x v="1"/>
    <x v="1"/>
    <x v="2"/>
    <x v="2"/>
    <n v="56"/>
    <n v="116558.38"/>
    <n v="24"/>
    <n v="48"/>
  </r>
  <r>
    <s v="P1011"/>
    <x v="5"/>
    <x v="1"/>
    <x v="2"/>
    <x v="0"/>
    <n v="24"/>
    <n v="135883.74"/>
    <n v="15"/>
    <n v="54"/>
  </r>
  <r>
    <s v="P1012"/>
    <x v="1"/>
    <x v="2"/>
    <x v="1"/>
    <x v="0"/>
    <n v="62"/>
    <n v="148179.98000000001"/>
    <n v="11"/>
    <n v="87"/>
  </r>
  <r>
    <s v="P1013"/>
    <x v="3"/>
    <x v="2"/>
    <x v="4"/>
    <x v="0"/>
    <n v="65"/>
    <n v="20591.650000000001"/>
    <n v="28"/>
    <n v="52"/>
  </r>
  <r>
    <s v="P1014"/>
    <x v="0"/>
    <x v="2"/>
    <x v="0"/>
    <x v="0"/>
    <n v="13"/>
    <n v="59149.07"/>
    <n v="19"/>
    <n v="86"/>
  </r>
  <r>
    <s v="P1015"/>
    <x v="0"/>
    <x v="3"/>
    <x v="3"/>
    <x v="1"/>
    <n v="39"/>
    <n v="59335.72"/>
    <n v="28"/>
    <n v="80"/>
  </r>
  <r>
    <s v="P1016"/>
    <x v="2"/>
    <x v="1"/>
    <x v="0"/>
    <x v="1"/>
    <n v="85"/>
    <n v="101936.34"/>
    <n v="27"/>
    <n v="99"/>
  </r>
  <r>
    <s v="P1017"/>
    <x v="2"/>
    <x v="3"/>
    <x v="0"/>
    <x v="1"/>
    <n v="52"/>
    <n v="107481.12"/>
    <n v="8"/>
    <n v="93"/>
  </r>
  <r>
    <s v="P1018"/>
    <x v="5"/>
    <x v="0"/>
    <x v="2"/>
    <x v="1"/>
    <n v="25"/>
    <n v="142574.53"/>
    <n v="30"/>
    <n v="99"/>
  </r>
  <r>
    <s v="P1019"/>
    <x v="1"/>
    <x v="3"/>
    <x v="2"/>
    <x v="1"/>
    <n v="1"/>
    <n v="43174.44"/>
    <n v="24"/>
    <n v="100"/>
  </r>
  <r>
    <s v="P1020"/>
    <x v="4"/>
    <x v="1"/>
    <x v="0"/>
    <x v="0"/>
    <n v="3"/>
    <n v="125171.58"/>
    <n v="30"/>
    <n v="89"/>
  </r>
  <r>
    <s v="P1021"/>
    <x v="1"/>
    <x v="0"/>
    <x v="3"/>
    <x v="1"/>
    <n v="31"/>
    <n v="51842.34"/>
    <n v="15"/>
    <n v="74"/>
  </r>
  <r>
    <s v="P1022"/>
    <x v="5"/>
    <x v="0"/>
    <x v="3"/>
    <x v="1"/>
    <n v="66"/>
    <n v="30547.73"/>
    <n v="11"/>
    <n v="47"/>
  </r>
  <r>
    <s v="P1023"/>
    <x v="2"/>
    <x v="0"/>
    <x v="4"/>
    <x v="1"/>
    <n v="68"/>
    <n v="68961.679999999993"/>
    <n v="5"/>
    <n v="67"/>
  </r>
  <r>
    <s v="P1024"/>
    <x v="5"/>
    <x v="0"/>
    <x v="4"/>
    <x v="2"/>
    <n v="75"/>
    <n v="89887.05"/>
    <n v="28"/>
    <n v="92"/>
  </r>
  <r>
    <s v="P1025"/>
    <x v="1"/>
    <x v="1"/>
    <x v="0"/>
    <x v="1"/>
    <n v="35"/>
    <n v="54350.5"/>
    <n v="24"/>
    <n v="70"/>
  </r>
  <r>
    <s v="P1026"/>
    <x v="4"/>
    <x v="0"/>
    <x v="2"/>
    <x v="1"/>
    <n v="56"/>
    <n v="47635.12"/>
    <n v="3"/>
    <n v="47"/>
  </r>
  <r>
    <s v="P1027"/>
    <x v="2"/>
    <x v="3"/>
    <x v="2"/>
    <x v="2"/>
    <n v="34"/>
    <n v="136077.99"/>
    <n v="25"/>
    <n v="58"/>
  </r>
  <r>
    <s v="P1028"/>
    <x v="3"/>
    <x v="0"/>
    <x v="2"/>
    <x v="1"/>
    <n v="31"/>
    <n v="103276.56"/>
    <n v="30"/>
    <n v="84"/>
  </r>
  <r>
    <s v="P1029"/>
    <x v="0"/>
    <x v="3"/>
    <x v="3"/>
    <x v="1"/>
    <n v="25"/>
    <n v="38676.85"/>
    <n v="9"/>
    <n v="70"/>
  </r>
  <r>
    <s v="P1030"/>
    <x v="0"/>
    <x v="3"/>
    <x v="4"/>
    <x v="2"/>
    <n v="86"/>
    <n v="35788.22"/>
    <n v="3"/>
    <n v="66"/>
  </r>
  <r>
    <s v="P1031"/>
    <x v="5"/>
    <x v="1"/>
    <x v="0"/>
    <x v="1"/>
    <n v="79"/>
    <n v="140415.63"/>
    <n v="16"/>
    <n v="67"/>
  </r>
  <r>
    <s v="P1032"/>
    <x v="2"/>
    <x v="3"/>
    <x v="3"/>
    <x v="1"/>
    <n v="51"/>
    <n v="143365.82999999999"/>
    <n v="1"/>
    <n v="58"/>
  </r>
  <r>
    <s v="P1033"/>
    <x v="0"/>
    <x v="1"/>
    <x v="1"/>
    <x v="1"/>
    <n v="1"/>
    <n v="101058.07"/>
    <n v="4"/>
    <n v="81"/>
  </r>
  <r>
    <s v="P1034"/>
    <x v="2"/>
    <x v="0"/>
    <x v="0"/>
    <x v="2"/>
    <n v="58"/>
    <n v="41426.04"/>
    <n v="6"/>
    <n v="67"/>
  </r>
  <r>
    <s v="P1035"/>
    <x v="2"/>
    <x v="2"/>
    <x v="1"/>
    <x v="0"/>
    <n v="15"/>
    <n v="131454.59"/>
    <n v="30"/>
    <n v="83"/>
  </r>
  <r>
    <s v="P1036"/>
    <x v="0"/>
    <x v="1"/>
    <x v="4"/>
    <x v="0"/>
    <n v="5"/>
    <n v="48581.36"/>
    <n v="16"/>
    <n v="40"/>
  </r>
  <r>
    <s v="P1037"/>
    <x v="1"/>
    <x v="0"/>
    <x v="1"/>
    <x v="0"/>
    <n v="41"/>
    <n v="143381.07"/>
    <n v="1"/>
    <n v="87"/>
  </r>
  <r>
    <s v="P1038"/>
    <x v="1"/>
    <x v="0"/>
    <x v="1"/>
    <x v="1"/>
    <n v="3"/>
    <n v="50045.440000000002"/>
    <n v="15"/>
    <n v="84"/>
  </r>
  <r>
    <s v="P1039"/>
    <x v="2"/>
    <x v="0"/>
    <x v="1"/>
    <x v="2"/>
    <n v="58"/>
    <n v="86479.95"/>
    <n v="1"/>
    <n v="75"/>
  </r>
  <r>
    <s v="P1040"/>
    <x v="1"/>
    <x v="3"/>
    <x v="2"/>
    <x v="1"/>
    <n v="14"/>
    <n v="9067.3799999999992"/>
    <n v="28"/>
    <n v="86"/>
  </r>
  <r>
    <s v="P1041"/>
    <x v="1"/>
    <x v="2"/>
    <x v="2"/>
    <x v="1"/>
    <n v="31"/>
    <n v="113414.83"/>
    <n v="8"/>
    <n v="70"/>
  </r>
  <r>
    <s v="P1042"/>
    <x v="4"/>
    <x v="1"/>
    <x v="0"/>
    <x v="1"/>
    <n v="85"/>
    <n v="78946.19"/>
    <n v="3"/>
    <n v="48"/>
  </r>
  <r>
    <s v="P1043"/>
    <x v="0"/>
    <x v="0"/>
    <x v="3"/>
    <x v="1"/>
    <n v="22"/>
    <n v="100035.91"/>
    <n v="29"/>
    <n v="70"/>
  </r>
  <r>
    <s v="P1044"/>
    <x v="1"/>
    <x v="2"/>
    <x v="2"/>
    <x v="1"/>
    <n v="62"/>
    <n v="149340.16"/>
    <n v="18"/>
    <n v="49"/>
  </r>
  <r>
    <s v="P1045"/>
    <x v="0"/>
    <x v="0"/>
    <x v="0"/>
    <x v="0"/>
    <n v="79"/>
    <n v="105328.19"/>
    <n v="26"/>
    <n v="94"/>
  </r>
  <r>
    <s v="P1046"/>
    <x v="0"/>
    <x v="2"/>
    <x v="0"/>
    <x v="2"/>
    <n v="19"/>
    <n v="21826.12"/>
    <n v="17"/>
    <n v="48"/>
  </r>
  <r>
    <s v="P1047"/>
    <x v="5"/>
    <x v="0"/>
    <x v="4"/>
    <x v="1"/>
    <n v="37"/>
    <n v="77556.53"/>
    <n v="24"/>
    <n v="87"/>
  </r>
  <r>
    <s v="P1048"/>
    <x v="5"/>
    <x v="2"/>
    <x v="3"/>
    <x v="1"/>
    <n v="30"/>
    <n v="53806.86"/>
    <n v="21"/>
    <n v="82"/>
  </r>
  <r>
    <s v="P1049"/>
    <x v="1"/>
    <x v="3"/>
    <x v="0"/>
    <x v="1"/>
    <n v="66"/>
    <n v="84096.91"/>
    <n v="18"/>
    <n v="91"/>
  </r>
  <r>
    <s v="P1050"/>
    <x v="0"/>
    <x v="2"/>
    <x v="0"/>
    <x v="1"/>
    <n v="22"/>
    <n v="46384.67"/>
    <n v="3"/>
    <n v="84"/>
  </r>
  <r>
    <s v="P1051"/>
    <x v="0"/>
    <x v="2"/>
    <x v="1"/>
    <x v="1"/>
    <n v="60"/>
    <n v="122442.43"/>
    <n v="6"/>
    <n v="94"/>
  </r>
  <r>
    <s v="P1052"/>
    <x v="4"/>
    <x v="1"/>
    <x v="0"/>
    <x v="2"/>
    <n v="35"/>
    <n v="73863.679999999993"/>
    <n v="17"/>
    <n v="42"/>
  </r>
  <r>
    <s v="P1053"/>
    <x v="2"/>
    <x v="0"/>
    <x v="2"/>
    <x v="0"/>
    <n v="21"/>
    <n v="75334.19"/>
    <n v="23"/>
    <n v="51"/>
  </r>
  <r>
    <s v="P1054"/>
    <x v="4"/>
    <x v="2"/>
    <x v="1"/>
    <x v="2"/>
    <n v="51"/>
    <n v="59829.99"/>
    <n v="2"/>
    <n v="40"/>
  </r>
  <r>
    <s v="P1055"/>
    <x v="4"/>
    <x v="2"/>
    <x v="4"/>
    <x v="0"/>
    <n v="87"/>
    <n v="5444.8"/>
    <n v="5"/>
    <n v="42"/>
  </r>
  <r>
    <s v="P1056"/>
    <x v="3"/>
    <x v="0"/>
    <x v="1"/>
    <x v="1"/>
    <n v="11"/>
    <n v="39022.85"/>
    <n v="8"/>
    <n v="96"/>
  </r>
  <r>
    <s v="P1057"/>
    <x v="1"/>
    <x v="0"/>
    <x v="0"/>
    <x v="1"/>
    <n v="7"/>
    <n v="127110.45"/>
    <n v="30"/>
    <n v="100"/>
  </r>
  <r>
    <s v="P1058"/>
    <x v="3"/>
    <x v="1"/>
    <x v="1"/>
    <x v="2"/>
    <n v="80"/>
    <n v="120082.46"/>
    <n v="16"/>
    <n v="93"/>
  </r>
  <r>
    <s v="P1059"/>
    <x v="1"/>
    <x v="2"/>
    <x v="1"/>
    <x v="1"/>
    <n v="75"/>
    <n v="79671.37"/>
    <n v="30"/>
    <n v="43"/>
  </r>
  <r>
    <s v="P1060"/>
    <x v="0"/>
    <x v="3"/>
    <x v="0"/>
    <x v="1"/>
    <n v="7"/>
    <n v="66277.52"/>
    <n v="26"/>
    <n v="69"/>
  </r>
  <r>
    <s v="P1061"/>
    <x v="2"/>
    <x v="0"/>
    <x v="4"/>
    <x v="0"/>
    <n v="14"/>
    <n v="12241.3"/>
    <n v="20"/>
    <n v="40"/>
  </r>
  <r>
    <s v="P1062"/>
    <x v="5"/>
    <x v="2"/>
    <x v="1"/>
    <x v="1"/>
    <n v="22"/>
    <n v="133882.43"/>
    <n v="29"/>
    <n v="63"/>
  </r>
  <r>
    <s v="P1063"/>
    <x v="3"/>
    <x v="3"/>
    <x v="0"/>
    <x v="2"/>
    <n v="73"/>
    <n v="148488.95000000001"/>
    <n v="22"/>
    <n v="77"/>
  </r>
  <r>
    <s v="P1064"/>
    <x v="4"/>
    <x v="1"/>
    <x v="0"/>
    <x v="2"/>
    <n v="5"/>
    <n v="74239.37"/>
    <n v="7"/>
    <n v="61"/>
  </r>
  <r>
    <s v="P1065"/>
    <x v="2"/>
    <x v="1"/>
    <x v="4"/>
    <x v="1"/>
    <n v="6"/>
    <n v="98732.94"/>
    <n v="25"/>
    <n v="45"/>
  </r>
  <r>
    <s v="P1066"/>
    <x v="0"/>
    <x v="0"/>
    <x v="2"/>
    <x v="0"/>
    <n v="4"/>
    <n v="66339.33"/>
    <n v="5"/>
    <n v="77"/>
  </r>
  <r>
    <s v="P1067"/>
    <x v="0"/>
    <x v="1"/>
    <x v="4"/>
    <x v="1"/>
    <n v="14"/>
    <n v="113363.27"/>
    <n v="9"/>
    <n v="74"/>
  </r>
  <r>
    <s v="P1068"/>
    <x v="0"/>
    <x v="1"/>
    <x v="4"/>
    <x v="0"/>
    <n v="11"/>
    <n v="24492.09"/>
    <n v="8"/>
    <n v="58"/>
  </r>
  <r>
    <s v="P1069"/>
    <x v="3"/>
    <x v="1"/>
    <x v="4"/>
    <x v="0"/>
    <n v="19"/>
    <n v="42080.85"/>
    <n v="29"/>
    <n v="65"/>
  </r>
  <r>
    <s v="P1070"/>
    <x v="4"/>
    <x v="1"/>
    <x v="2"/>
    <x v="2"/>
    <n v="56"/>
    <n v="147658.16"/>
    <n v="11"/>
    <n v="96"/>
  </r>
  <r>
    <s v="P1071"/>
    <x v="2"/>
    <x v="1"/>
    <x v="0"/>
    <x v="0"/>
    <n v="40"/>
    <n v="79386.600000000006"/>
    <n v="21"/>
    <n v="67"/>
  </r>
  <r>
    <s v="P1072"/>
    <x v="5"/>
    <x v="3"/>
    <x v="1"/>
    <x v="1"/>
    <n v="6"/>
    <n v="22175.37"/>
    <n v="17"/>
    <n v="82"/>
  </r>
  <r>
    <s v="P1073"/>
    <x v="4"/>
    <x v="2"/>
    <x v="0"/>
    <x v="2"/>
    <n v="62"/>
    <n v="16296.15"/>
    <n v="28"/>
    <n v="63"/>
  </r>
  <r>
    <s v="P1074"/>
    <x v="4"/>
    <x v="3"/>
    <x v="0"/>
    <x v="2"/>
    <n v="56"/>
    <n v="120488.57"/>
    <n v="30"/>
    <n v="48"/>
  </r>
  <r>
    <s v="P1075"/>
    <x v="2"/>
    <x v="2"/>
    <x v="0"/>
    <x v="0"/>
    <n v="8"/>
    <n v="111873.66"/>
    <n v="16"/>
    <n v="74"/>
  </r>
  <r>
    <s v="P1076"/>
    <x v="2"/>
    <x v="1"/>
    <x v="2"/>
    <x v="1"/>
    <n v="62"/>
    <n v="27610.65"/>
    <n v="26"/>
    <n v="72"/>
  </r>
  <r>
    <s v="P1077"/>
    <x v="2"/>
    <x v="3"/>
    <x v="4"/>
    <x v="2"/>
    <n v="17"/>
    <n v="142458.98000000001"/>
    <n v="6"/>
    <n v="69"/>
  </r>
  <r>
    <s v="P1078"/>
    <x v="2"/>
    <x v="0"/>
    <x v="2"/>
    <x v="2"/>
    <n v="7"/>
    <n v="23799.83"/>
    <n v="26"/>
    <n v="52"/>
  </r>
  <r>
    <s v="P1079"/>
    <x v="5"/>
    <x v="3"/>
    <x v="0"/>
    <x v="2"/>
    <n v="49"/>
    <n v="117019.47"/>
    <n v="28"/>
    <n v="63"/>
  </r>
  <r>
    <s v="P1080"/>
    <x v="5"/>
    <x v="0"/>
    <x v="4"/>
    <x v="2"/>
    <n v="12"/>
    <n v="69472.05"/>
    <n v="11"/>
    <n v="68"/>
  </r>
  <r>
    <s v="P1081"/>
    <x v="3"/>
    <x v="0"/>
    <x v="4"/>
    <x v="0"/>
    <n v="5"/>
    <n v="64103.040000000001"/>
    <n v="14"/>
    <n v="42"/>
  </r>
  <r>
    <s v="P1082"/>
    <x v="2"/>
    <x v="0"/>
    <x v="0"/>
    <x v="2"/>
    <n v="13"/>
    <n v="137441.75"/>
    <n v="23"/>
    <n v="74"/>
  </r>
  <r>
    <s v="P1083"/>
    <x v="3"/>
    <x v="0"/>
    <x v="2"/>
    <x v="0"/>
    <n v="71"/>
    <n v="11066.61"/>
    <n v="17"/>
    <n v="86"/>
  </r>
  <r>
    <s v="P1084"/>
    <x v="4"/>
    <x v="1"/>
    <x v="3"/>
    <x v="0"/>
    <n v="87"/>
    <n v="36726.76"/>
    <n v="4"/>
    <n v="53"/>
  </r>
  <r>
    <s v="P1085"/>
    <x v="1"/>
    <x v="1"/>
    <x v="1"/>
    <x v="2"/>
    <n v="40"/>
    <n v="19717.900000000001"/>
    <n v="20"/>
    <n v="63"/>
  </r>
  <r>
    <s v="P1086"/>
    <x v="5"/>
    <x v="1"/>
    <x v="3"/>
    <x v="2"/>
    <n v="63"/>
    <n v="82657.039999999994"/>
    <n v="4"/>
    <n v="55"/>
  </r>
  <r>
    <s v="P1087"/>
    <x v="1"/>
    <x v="1"/>
    <x v="1"/>
    <x v="2"/>
    <n v="1"/>
    <n v="16874.009999999998"/>
    <n v="14"/>
    <n v="76"/>
  </r>
  <r>
    <s v="P1088"/>
    <x v="1"/>
    <x v="3"/>
    <x v="0"/>
    <x v="1"/>
    <n v="37"/>
    <n v="8578.83"/>
    <n v="2"/>
    <n v="90"/>
  </r>
  <r>
    <s v="P1089"/>
    <x v="5"/>
    <x v="0"/>
    <x v="1"/>
    <x v="1"/>
    <n v="7"/>
    <n v="22311.39"/>
    <n v="14"/>
    <n v="86"/>
  </r>
  <r>
    <s v="P1090"/>
    <x v="3"/>
    <x v="3"/>
    <x v="0"/>
    <x v="2"/>
    <n v="46"/>
    <n v="128560.01"/>
    <n v="7"/>
    <n v="52"/>
  </r>
  <r>
    <s v="P1091"/>
    <x v="4"/>
    <x v="0"/>
    <x v="2"/>
    <x v="2"/>
    <n v="30"/>
    <n v="147742.63"/>
    <n v="28"/>
    <n v="62"/>
  </r>
  <r>
    <s v="P1092"/>
    <x v="1"/>
    <x v="0"/>
    <x v="1"/>
    <x v="2"/>
    <n v="66"/>
    <n v="54562.1"/>
    <n v="21"/>
    <n v="86"/>
  </r>
  <r>
    <s v="P1093"/>
    <x v="5"/>
    <x v="2"/>
    <x v="2"/>
    <x v="2"/>
    <n v="1"/>
    <n v="146289.26999999999"/>
    <n v="17"/>
    <n v="47"/>
  </r>
  <r>
    <s v="P1094"/>
    <x v="4"/>
    <x v="3"/>
    <x v="4"/>
    <x v="2"/>
    <n v="89"/>
    <n v="128840.81"/>
    <n v="22"/>
    <n v="81"/>
  </r>
  <r>
    <s v="P1095"/>
    <x v="2"/>
    <x v="1"/>
    <x v="1"/>
    <x v="2"/>
    <n v="48"/>
    <n v="19629.22"/>
    <n v="2"/>
    <n v="95"/>
  </r>
  <r>
    <s v="P1096"/>
    <x v="4"/>
    <x v="2"/>
    <x v="4"/>
    <x v="0"/>
    <n v="59"/>
    <n v="73629.03"/>
    <n v="10"/>
    <n v="85"/>
  </r>
  <r>
    <s v="P1097"/>
    <x v="3"/>
    <x v="1"/>
    <x v="4"/>
    <x v="2"/>
    <n v="54"/>
    <n v="100747.7"/>
    <n v="12"/>
    <n v="74"/>
  </r>
  <r>
    <s v="P1098"/>
    <x v="1"/>
    <x v="0"/>
    <x v="0"/>
    <x v="2"/>
    <n v="35"/>
    <n v="85523.17"/>
    <n v="30"/>
    <n v="90"/>
  </r>
  <r>
    <s v="P1099"/>
    <x v="4"/>
    <x v="1"/>
    <x v="2"/>
    <x v="2"/>
    <n v="33"/>
    <n v="79151.14"/>
    <n v="2"/>
    <n v="56"/>
  </r>
  <r>
    <s v="P1100"/>
    <x v="5"/>
    <x v="0"/>
    <x v="2"/>
    <x v="0"/>
    <n v="30"/>
    <n v="115395.67"/>
    <n v="11"/>
    <n v="74"/>
  </r>
  <r>
    <s v="P1101"/>
    <x v="2"/>
    <x v="2"/>
    <x v="0"/>
    <x v="0"/>
    <n v="60"/>
    <n v="49131.44"/>
    <n v="2"/>
    <n v="44"/>
  </r>
  <r>
    <s v="P1102"/>
    <x v="4"/>
    <x v="0"/>
    <x v="2"/>
    <x v="2"/>
    <n v="70"/>
    <n v="58132.5"/>
    <n v="25"/>
    <n v="43"/>
  </r>
  <r>
    <s v="P1103"/>
    <x v="5"/>
    <x v="3"/>
    <x v="0"/>
    <x v="0"/>
    <n v="6"/>
    <n v="77311.77"/>
    <n v="19"/>
    <n v="90"/>
  </r>
  <r>
    <s v="P1104"/>
    <x v="3"/>
    <x v="2"/>
    <x v="4"/>
    <x v="2"/>
    <n v="70"/>
    <n v="14270.62"/>
    <n v="24"/>
    <n v="43"/>
  </r>
  <r>
    <s v="P1105"/>
    <x v="1"/>
    <x v="2"/>
    <x v="3"/>
    <x v="0"/>
    <n v="52"/>
    <n v="97685.72"/>
    <n v="28"/>
    <n v="59"/>
  </r>
  <r>
    <s v="P1106"/>
    <x v="0"/>
    <x v="1"/>
    <x v="2"/>
    <x v="1"/>
    <n v="64"/>
    <n v="142687.47"/>
    <n v="27"/>
    <n v="80"/>
  </r>
  <r>
    <s v="P1107"/>
    <x v="4"/>
    <x v="2"/>
    <x v="1"/>
    <x v="2"/>
    <n v="35"/>
    <n v="36754.51"/>
    <n v="27"/>
    <n v="49"/>
  </r>
  <r>
    <s v="P1108"/>
    <x v="1"/>
    <x v="1"/>
    <x v="1"/>
    <x v="2"/>
    <n v="62"/>
    <n v="34938.57"/>
    <n v="8"/>
    <n v="70"/>
  </r>
  <r>
    <s v="P1109"/>
    <x v="2"/>
    <x v="2"/>
    <x v="0"/>
    <x v="0"/>
    <n v="22"/>
    <n v="97228.49"/>
    <n v="7"/>
    <n v="60"/>
  </r>
  <r>
    <s v="P1110"/>
    <x v="3"/>
    <x v="2"/>
    <x v="1"/>
    <x v="0"/>
    <n v="42"/>
    <n v="91441.1"/>
    <n v="22"/>
    <n v="84"/>
  </r>
  <r>
    <s v="P1111"/>
    <x v="0"/>
    <x v="3"/>
    <x v="4"/>
    <x v="0"/>
    <n v="24"/>
    <n v="139624.06"/>
    <n v="5"/>
    <n v="55"/>
  </r>
  <r>
    <s v="P1112"/>
    <x v="3"/>
    <x v="1"/>
    <x v="0"/>
    <x v="2"/>
    <n v="17"/>
    <n v="86650.5"/>
    <n v="3"/>
    <n v="53"/>
  </r>
  <r>
    <s v="P1113"/>
    <x v="4"/>
    <x v="0"/>
    <x v="1"/>
    <x v="1"/>
    <n v="75"/>
    <n v="85517.09"/>
    <n v="6"/>
    <n v="79"/>
  </r>
  <r>
    <s v="P1114"/>
    <x v="0"/>
    <x v="0"/>
    <x v="1"/>
    <x v="0"/>
    <n v="47"/>
    <n v="134120.62"/>
    <n v="11"/>
    <n v="92"/>
  </r>
  <r>
    <s v="P1115"/>
    <x v="2"/>
    <x v="3"/>
    <x v="2"/>
    <x v="2"/>
    <n v="81"/>
    <n v="22593.06"/>
    <n v="6"/>
    <n v="67"/>
  </r>
  <r>
    <s v="P1116"/>
    <x v="0"/>
    <x v="2"/>
    <x v="2"/>
    <x v="1"/>
    <n v="20"/>
    <n v="88741.64"/>
    <n v="26"/>
    <n v="99"/>
  </r>
  <r>
    <s v="P1117"/>
    <x v="0"/>
    <x v="1"/>
    <x v="1"/>
    <x v="1"/>
    <n v="14"/>
    <n v="10917.19"/>
    <n v="22"/>
    <n v="43"/>
  </r>
  <r>
    <s v="P1118"/>
    <x v="0"/>
    <x v="3"/>
    <x v="4"/>
    <x v="0"/>
    <n v="30"/>
    <n v="97613.71"/>
    <n v="24"/>
    <n v="72"/>
  </r>
  <r>
    <s v="P1119"/>
    <x v="5"/>
    <x v="3"/>
    <x v="2"/>
    <x v="0"/>
    <n v="81"/>
    <n v="135711.26999999999"/>
    <n v="14"/>
    <n v="99"/>
  </r>
  <r>
    <s v="P1120"/>
    <x v="1"/>
    <x v="1"/>
    <x v="2"/>
    <x v="0"/>
    <n v="48"/>
    <n v="117464.18"/>
    <n v="2"/>
    <n v="61"/>
  </r>
  <r>
    <s v="P1121"/>
    <x v="2"/>
    <x v="1"/>
    <x v="2"/>
    <x v="2"/>
    <n v="45"/>
    <n v="89474.55"/>
    <n v="21"/>
    <n v="64"/>
  </r>
  <r>
    <s v="P1122"/>
    <x v="0"/>
    <x v="3"/>
    <x v="4"/>
    <x v="2"/>
    <n v="1"/>
    <n v="105954.09"/>
    <n v="12"/>
    <n v="95"/>
  </r>
  <r>
    <s v="P1123"/>
    <x v="1"/>
    <x v="2"/>
    <x v="3"/>
    <x v="0"/>
    <n v="30"/>
    <n v="91267.91"/>
    <n v="17"/>
    <n v="76"/>
  </r>
  <r>
    <s v="P1124"/>
    <x v="5"/>
    <x v="0"/>
    <x v="3"/>
    <x v="0"/>
    <n v="3"/>
    <n v="46506.94"/>
    <n v="9"/>
    <n v="72"/>
  </r>
  <r>
    <s v="P1125"/>
    <x v="4"/>
    <x v="3"/>
    <x v="1"/>
    <x v="0"/>
    <n v="78"/>
    <n v="40568.300000000003"/>
    <n v="18"/>
    <n v="91"/>
  </r>
  <r>
    <s v="P1126"/>
    <x v="2"/>
    <x v="0"/>
    <x v="4"/>
    <x v="1"/>
    <n v="35"/>
    <n v="132265.98000000001"/>
    <n v="7"/>
    <n v="45"/>
  </r>
  <r>
    <s v="P1127"/>
    <x v="1"/>
    <x v="3"/>
    <x v="2"/>
    <x v="1"/>
    <n v="88"/>
    <n v="50993.47"/>
    <n v="4"/>
    <n v="82"/>
  </r>
  <r>
    <s v="P1128"/>
    <x v="2"/>
    <x v="3"/>
    <x v="1"/>
    <x v="1"/>
    <n v="7"/>
    <n v="135590.48000000001"/>
    <n v="6"/>
    <n v="46"/>
  </r>
  <r>
    <s v="P1129"/>
    <x v="1"/>
    <x v="3"/>
    <x v="4"/>
    <x v="0"/>
    <n v="73"/>
    <n v="148956.56"/>
    <n v="6"/>
    <n v="100"/>
  </r>
  <r>
    <s v="P1130"/>
    <x v="3"/>
    <x v="1"/>
    <x v="0"/>
    <x v="1"/>
    <n v="83"/>
    <n v="71584.960000000006"/>
    <n v="26"/>
    <n v="55"/>
  </r>
  <r>
    <s v="P1131"/>
    <x v="2"/>
    <x v="2"/>
    <x v="1"/>
    <x v="2"/>
    <n v="37"/>
    <n v="78613.16"/>
    <n v="20"/>
    <n v="85"/>
  </r>
  <r>
    <s v="P1132"/>
    <x v="2"/>
    <x v="0"/>
    <x v="2"/>
    <x v="1"/>
    <n v="53"/>
    <n v="103548.4"/>
    <n v="27"/>
    <n v="74"/>
  </r>
  <r>
    <s v="P1133"/>
    <x v="4"/>
    <x v="0"/>
    <x v="4"/>
    <x v="2"/>
    <n v="50"/>
    <n v="62134.18"/>
    <n v="13"/>
    <n v="40"/>
  </r>
  <r>
    <s v="P1134"/>
    <x v="5"/>
    <x v="3"/>
    <x v="4"/>
    <x v="1"/>
    <n v="7"/>
    <n v="59235.13"/>
    <n v="12"/>
    <n v="42"/>
  </r>
  <r>
    <s v="P1135"/>
    <x v="0"/>
    <x v="2"/>
    <x v="4"/>
    <x v="1"/>
    <n v="38"/>
    <n v="118022.05"/>
    <n v="17"/>
    <n v="79"/>
  </r>
  <r>
    <s v="P1136"/>
    <x v="3"/>
    <x v="0"/>
    <x v="3"/>
    <x v="0"/>
    <n v="49"/>
    <n v="127750.62"/>
    <n v="18"/>
    <n v="60"/>
  </r>
  <r>
    <s v="P1137"/>
    <x v="1"/>
    <x v="2"/>
    <x v="1"/>
    <x v="2"/>
    <n v="27"/>
    <n v="79666.86"/>
    <n v="16"/>
    <n v="85"/>
  </r>
  <r>
    <s v="P1138"/>
    <x v="2"/>
    <x v="3"/>
    <x v="0"/>
    <x v="0"/>
    <n v="65"/>
    <n v="120956.04"/>
    <n v="25"/>
    <n v="95"/>
  </r>
  <r>
    <s v="P1139"/>
    <x v="0"/>
    <x v="2"/>
    <x v="3"/>
    <x v="1"/>
    <n v="58"/>
    <n v="100338.81"/>
    <n v="7"/>
    <n v="59"/>
  </r>
  <r>
    <s v="P1140"/>
    <x v="4"/>
    <x v="2"/>
    <x v="0"/>
    <x v="0"/>
    <n v="22"/>
    <n v="120621.62"/>
    <n v="21"/>
    <n v="74"/>
  </r>
  <r>
    <s v="P1141"/>
    <x v="0"/>
    <x v="2"/>
    <x v="2"/>
    <x v="1"/>
    <n v="10"/>
    <n v="21143.75"/>
    <n v="2"/>
    <n v="42"/>
  </r>
  <r>
    <s v="P1142"/>
    <x v="4"/>
    <x v="2"/>
    <x v="4"/>
    <x v="2"/>
    <n v="37"/>
    <n v="58168.06"/>
    <n v="3"/>
    <n v="84"/>
  </r>
  <r>
    <s v="P1143"/>
    <x v="1"/>
    <x v="3"/>
    <x v="4"/>
    <x v="0"/>
    <n v="57"/>
    <n v="121600.57"/>
    <n v="19"/>
    <n v="94"/>
  </r>
  <r>
    <s v="P1144"/>
    <x v="3"/>
    <x v="1"/>
    <x v="3"/>
    <x v="1"/>
    <n v="26"/>
    <n v="60409.31"/>
    <n v="25"/>
    <n v="94"/>
  </r>
  <r>
    <s v="P1145"/>
    <x v="0"/>
    <x v="1"/>
    <x v="2"/>
    <x v="1"/>
    <n v="51"/>
    <n v="148766.01"/>
    <n v="21"/>
    <n v="76"/>
  </r>
  <r>
    <s v="P1146"/>
    <x v="0"/>
    <x v="2"/>
    <x v="3"/>
    <x v="1"/>
    <n v="1"/>
    <n v="46211.03"/>
    <n v="4"/>
    <n v="97"/>
  </r>
  <r>
    <s v="P1147"/>
    <x v="5"/>
    <x v="0"/>
    <x v="3"/>
    <x v="1"/>
    <n v="61"/>
    <n v="32781.94"/>
    <n v="1"/>
    <n v="83"/>
  </r>
  <r>
    <s v="P1148"/>
    <x v="5"/>
    <x v="1"/>
    <x v="1"/>
    <x v="2"/>
    <n v="34"/>
    <n v="139264.72"/>
    <n v="14"/>
    <n v="72"/>
  </r>
  <r>
    <s v="P1149"/>
    <x v="1"/>
    <x v="0"/>
    <x v="4"/>
    <x v="0"/>
    <n v="78"/>
    <n v="15165.98"/>
    <n v="25"/>
    <n v="86"/>
  </r>
  <r>
    <s v="P1150"/>
    <x v="0"/>
    <x v="2"/>
    <x v="1"/>
    <x v="1"/>
    <n v="73"/>
    <n v="133910.69"/>
    <n v="22"/>
    <n v="87"/>
  </r>
  <r>
    <s v="P1151"/>
    <x v="3"/>
    <x v="2"/>
    <x v="0"/>
    <x v="1"/>
    <n v="8"/>
    <n v="82835.539999999994"/>
    <n v="24"/>
    <n v="94"/>
  </r>
  <r>
    <s v="P1152"/>
    <x v="0"/>
    <x v="1"/>
    <x v="4"/>
    <x v="1"/>
    <n v="16"/>
    <n v="109945.06"/>
    <n v="23"/>
    <n v="76"/>
  </r>
  <r>
    <s v="P1153"/>
    <x v="0"/>
    <x v="1"/>
    <x v="3"/>
    <x v="2"/>
    <n v="3"/>
    <n v="40894.400000000001"/>
    <n v="20"/>
    <n v="46"/>
  </r>
  <r>
    <s v="P1154"/>
    <x v="0"/>
    <x v="1"/>
    <x v="3"/>
    <x v="2"/>
    <n v="28"/>
    <n v="5522.04"/>
    <n v="20"/>
    <n v="95"/>
  </r>
  <r>
    <s v="P1155"/>
    <x v="2"/>
    <x v="3"/>
    <x v="3"/>
    <x v="1"/>
    <n v="38"/>
    <n v="121567.96"/>
    <n v="26"/>
    <n v="65"/>
  </r>
  <r>
    <s v="P1156"/>
    <x v="0"/>
    <x v="3"/>
    <x v="4"/>
    <x v="0"/>
    <n v="2"/>
    <n v="14606.74"/>
    <n v="30"/>
    <n v="75"/>
  </r>
  <r>
    <s v="P1157"/>
    <x v="1"/>
    <x v="2"/>
    <x v="2"/>
    <x v="1"/>
    <n v="6"/>
    <n v="116568.72"/>
    <n v="24"/>
    <n v="65"/>
  </r>
  <r>
    <s v="P1158"/>
    <x v="3"/>
    <x v="1"/>
    <x v="4"/>
    <x v="1"/>
    <n v="33"/>
    <n v="70189.8"/>
    <n v="14"/>
    <n v="88"/>
  </r>
  <r>
    <s v="P1159"/>
    <x v="5"/>
    <x v="1"/>
    <x v="3"/>
    <x v="2"/>
    <n v="28"/>
    <n v="136392.39000000001"/>
    <n v="22"/>
    <n v="77"/>
  </r>
  <r>
    <s v="P1160"/>
    <x v="5"/>
    <x v="3"/>
    <x v="3"/>
    <x v="2"/>
    <n v="56"/>
    <n v="139281.34"/>
    <n v="24"/>
    <n v="96"/>
  </r>
  <r>
    <s v="P1161"/>
    <x v="1"/>
    <x v="0"/>
    <x v="3"/>
    <x v="1"/>
    <n v="80"/>
    <n v="140818.37"/>
    <n v="9"/>
    <n v="42"/>
  </r>
  <r>
    <s v="P1162"/>
    <x v="4"/>
    <x v="3"/>
    <x v="1"/>
    <x v="1"/>
    <n v="74"/>
    <n v="56018.43"/>
    <n v="7"/>
    <n v="77"/>
  </r>
  <r>
    <s v="P1163"/>
    <x v="2"/>
    <x v="3"/>
    <x v="4"/>
    <x v="2"/>
    <n v="72"/>
    <n v="144841.74"/>
    <n v="5"/>
    <n v="57"/>
  </r>
  <r>
    <s v="P1164"/>
    <x v="4"/>
    <x v="0"/>
    <x v="2"/>
    <x v="1"/>
    <n v="14"/>
    <n v="123398.79"/>
    <n v="21"/>
    <n v="77"/>
  </r>
  <r>
    <s v="P1165"/>
    <x v="1"/>
    <x v="3"/>
    <x v="4"/>
    <x v="1"/>
    <n v="48"/>
    <n v="10911.55"/>
    <n v="19"/>
    <n v="47"/>
  </r>
  <r>
    <s v="P1166"/>
    <x v="5"/>
    <x v="1"/>
    <x v="4"/>
    <x v="0"/>
    <n v="87"/>
    <n v="96532.96"/>
    <n v="7"/>
    <n v="93"/>
  </r>
  <r>
    <s v="P1167"/>
    <x v="1"/>
    <x v="3"/>
    <x v="4"/>
    <x v="2"/>
    <n v="49"/>
    <n v="126056.09"/>
    <n v="11"/>
    <n v="78"/>
  </r>
  <r>
    <s v="P1168"/>
    <x v="5"/>
    <x v="3"/>
    <x v="4"/>
    <x v="2"/>
    <n v="42"/>
    <n v="92788.13"/>
    <n v="4"/>
    <n v="41"/>
  </r>
  <r>
    <s v="P1169"/>
    <x v="1"/>
    <x v="0"/>
    <x v="3"/>
    <x v="1"/>
    <n v="36"/>
    <n v="24614.639999999999"/>
    <n v="30"/>
    <n v="57"/>
  </r>
  <r>
    <s v="P1170"/>
    <x v="4"/>
    <x v="0"/>
    <x v="0"/>
    <x v="2"/>
    <n v="56"/>
    <n v="36862.400000000001"/>
    <n v="28"/>
    <n v="66"/>
  </r>
  <r>
    <s v="P1171"/>
    <x v="0"/>
    <x v="1"/>
    <x v="0"/>
    <x v="1"/>
    <n v="39"/>
    <n v="84065.42"/>
    <n v="28"/>
    <n v="50"/>
  </r>
  <r>
    <s v="P1172"/>
    <x v="0"/>
    <x v="3"/>
    <x v="0"/>
    <x v="2"/>
    <n v="42"/>
    <n v="83047.11"/>
    <n v="13"/>
    <n v="50"/>
  </r>
  <r>
    <s v="P1173"/>
    <x v="0"/>
    <x v="0"/>
    <x v="3"/>
    <x v="2"/>
    <n v="59"/>
    <n v="96326.11"/>
    <n v="17"/>
    <n v="82"/>
  </r>
  <r>
    <s v="P1174"/>
    <x v="5"/>
    <x v="3"/>
    <x v="0"/>
    <x v="1"/>
    <n v="67"/>
    <n v="49487.73"/>
    <n v="27"/>
    <n v="72"/>
  </r>
  <r>
    <s v="P1175"/>
    <x v="0"/>
    <x v="3"/>
    <x v="1"/>
    <x v="1"/>
    <n v="11"/>
    <n v="18263.25"/>
    <n v="29"/>
    <n v="83"/>
  </r>
  <r>
    <s v="P1176"/>
    <x v="4"/>
    <x v="2"/>
    <x v="0"/>
    <x v="0"/>
    <n v="3"/>
    <n v="149013.84"/>
    <n v="26"/>
    <n v="93"/>
  </r>
  <r>
    <s v="P1177"/>
    <x v="2"/>
    <x v="1"/>
    <x v="3"/>
    <x v="2"/>
    <n v="69"/>
    <n v="46708.35"/>
    <n v="1"/>
    <n v="88"/>
  </r>
  <r>
    <s v="P1178"/>
    <x v="3"/>
    <x v="0"/>
    <x v="1"/>
    <x v="1"/>
    <n v="54"/>
    <n v="68133.7"/>
    <n v="9"/>
    <n v="60"/>
  </r>
  <r>
    <s v="P1179"/>
    <x v="5"/>
    <x v="2"/>
    <x v="0"/>
    <x v="1"/>
    <n v="82"/>
    <n v="19213.509999999998"/>
    <n v="26"/>
    <n v="96"/>
  </r>
  <r>
    <s v="P1180"/>
    <x v="3"/>
    <x v="3"/>
    <x v="3"/>
    <x v="1"/>
    <n v="60"/>
    <n v="22138.22"/>
    <n v="3"/>
    <n v="96"/>
  </r>
  <r>
    <s v="P1181"/>
    <x v="2"/>
    <x v="1"/>
    <x v="1"/>
    <x v="1"/>
    <n v="65"/>
    <n v="30460.26"/>
    <n v="21"/>
    <n v="63"/>
  </r>
  <r>
    <s v="P1182"/>
    <x v="1"/>
    <x v="2"/>
    <x v="2"/>
    <x v="1"/>
    <n v="5"/>
    <n v="52772.62"/>
    <n v="9"/>
    <n v="62"/>
  </r>
  <r>
    <s v="P1183"/>
    <x v="2"/>
    <x v="2"/>
    <x v="1"/>
    <x v="1"/>
    <n v="54"/>
    <n v="118241.71"/>
    <n v="24"/>
    <n v="81"/>
  </r>
  <r>
    <s v="P1184"/>
    <x v="0"/>
    <x v="1"/>
    <x v="4"/>
    <x v="1"/>
    <n v="64"/>
    <n v="19477.689999999999"/>
    <n v="6"/>
    <n v="65"/>
  </r>
  <r>
    <s v="P1185"/>
    <x v="5"/>
    <x v="2"/>
    <x v="2"/>
    <x v="0"/>
    <n v="77"/>
    <n v="114541.22"/>
    <n v="25"/>
    <n v="69"/>
  </r>
  <r>
    <s v="P1186"/>
    <x v="5"/>
    <x v="0"/>
    <x v="3"/>
    <x v="0"/>
    <n v="72"/>
    <n v="56437.97"/>
    <n v="21"/>
    <n v="78"/>
  </r>
  <r>
    <s v="P1187"/>
    <x v="4"/>
    <x v="1"/>
    <x v="1"/>
    <x v="1"/>
    <n v="86"/>
    <n v="53586.34"/>
    <n v="22"/>
    <n v="96"/>
  </r>
  <r>
    <s v="P1188"/>
    <x v="0"/>
    <x v="3"/>
    <x v="1"/>
    <x v="0"/>
    <n v="62"/>
    <n v="13836.03"/>
    <n v="15"/>
    <n v="60"/>
  </r>
  <r>
    <s v="P1189"/>
    <x v="1"/>
    <x v="2"/>
    <x v="2"/>
    <x v="1"/>
    <n v="38"/>
    <n v="54960.36"/>
    <n v="26"/>
    <n v="61"/>
  </r>
  <r>
    <s v="P1190"/>
    <x v="1"/>
    <x v="1"/>
    <x v="4"/>
    <x v="0"/>
    <n v="70"/>
    <n v="92629.07"/>
    <n v="11"/>
    <n v="96"/>
  </r>
  <r>
    <s v="P1191"/>
    <x v="3"/>
    <x v="3"/>
    <x v="4"/>
    <x v="2"/>
    <n v="52"/>
    <n v="69945.08"/>
    <n v="8"/>
    <n v="80"/>
  </r>
  <r>
    <s v="P1192"/>
    <x v="2"/>
    <x v="1"/>
    <x v="0"/>
    <x v="0"/>
    <n v="62"/>
    <n v="132120.79"/>
    <n v="25"/>
    <n v="81"/>
  </r>
  <r>
    <s v="P1193"/>
    <x v="2"/>
    <x v="1"/>
    <x v="3"/>
    <x v="1"/>
    <n v="22"/>
    <n v="132726.88"/>
    <n v="24"/>
    <n v="54"/>
  </r>
  <r>
    <s v="P1194"/>
    <x v="0"/>
    <x v="1"/>
    <x v="1"/>
    <x v="2"/>
    <n v="70"/>
    <n v="40806.769999999997"/>
    <n v="1"/>
    <n v="51"/>
  </r>
  <r>
    <s v="P1195"/>
    <x v="3"/>
    <x v="3"/>
    <x v="4"/>
    <x v="0"/>
    <n v="33"/>
    <n v="56926.38"/>
    <n v="11"/>
    <n v="81"/>
  </r>
  <r>
    <s v="P1196"/>
    <x v="2"/>
    <x v="1"/>
    <x v="4"/>
    <x v="2"/>
    <n v="1"/>
    <n v="87386.12"/>
    <n v="14"/>
    <n v="63"/>
  </r>
  <r>
    <s v="P1197"/>
    <x v="2"/>
    <x v="2"/>
    <x v="0"/>
    <x v="0"/>
    <n v="8"/>
    <n v="7805.22"/>
    <n v="13"/>
    <n v="91"/>
  </r>
  <r>
    <s v="P1198"/>
    <x v="2"/>
    <x v="0"/>
    <x v="1"/>
    <x v="1"/>
    <n v="90"/>
    <n v="64936.83"/>
    <n v="23"/>
    <n v="51"/>
  </r>
  <r>
    <s v="P1199"/>
    <x v="5"/>
    <x v="3"/>
    <x v="4"/>
    <x v="0"/>
    <n v="21"/>
    <n v="57025.03"/>
    <n v="18"/>
    <n v="50"/>
  </r>
  <r>
    <s v="P1200"/>
    <x v="5"/>
    <x v="3"/>
    <x v="2"/>
    <x v="0"/>
    <n v="39"/>
    <n v="145631.91"/>
    <n v="6"/>
    <n v="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s v="P1190"/>
    <s v="Pediatrics"/>
    <s v="Medication"/>
    <s v="Dr. R. Singh"/>
    <s v="Female"/>
    <n v="70"/>
    <n v="92629.07"/>
    <n v="11"/>
    <n v="96"/>
    <x v="0"/>
    <x v="0"/>
  </r>
  <r>
    <s v="P1002"/>
    <s v="Pediatrics"/>
    <s v="Medication"/>
    <s v="Dr. M. Patel"/>
    <s v="Male"/>
    <n v="52"/>
    <n v="10231.42"/>
    <n v="20"/>
    <n v="42"/>
    <x v="1"/>
    <x v="1"/>
  </r>
  <r>
    <s v="P1003"/>
    <s v="Pediatrics"/>
    <s v="Therapy"/>
    <s v="Dr. L. Khan"/>
    <s v="Male"/>
    <n v="79"/>
    <n v="10160.24"/>
    <n v="2"/>
    <n v="72"/>
    <x v="1"/>
    <x v="2"/>
  </r>
  <r>
    <s v="P1004"/>
    <s v="Pediatrics"/>
    <s v="Therapy"/>
    <s v="Dr. L. Khan"/>
    <s v="Female"/>
    <n v="23"/>
    <n v="103508.96"/>
    <n v="20"/>
    <n v="50"/>
    <x v="0"/>
    <x v="3"/>
  </r>
  <r>
    <s v="P1189"/>
    <s v="Pediatrics"/>
    <s v="Observation"/>
    <s v="Dr. T. Mehta"/>
    <s v="Male"/>
    <n v="38"/>
    <n v="54960.36"/>
    <n v="26"/>
    <n v="61"/>
    <x v="1"/>
    <x v="4"/>
  </r>
  <r>
    <s v="P1182"/>
    <s v="Pediatrics"/>
    <s v="Observation"/>
    <s v="Dr. T. Mehta"/>
    <s v="Male"/>
    <n v="5"/>
    <n v="52772.62"/>
    <n v="9"/>
    <n v="62"/>
    <x v="1"/>
    <x v="5"/>
  </r>
  <r>
    <s v="P1169"/>
    <s v="Pediatrics"/>
    <s v="Therapy"/>
    <s v="Dr. A. Sharma"/>
    <s v="Male"/>
    <n v="36"/>
    <n v="24614.639999999999"/>
    <n v="30"/>
    <n v="57"/>
    <x v="1"/>
    <x v="4"/>
  </r>
  <r>
    <s v="P1167"/>
    <s v="Pediatrics"/>
    <s v="Surgery"/>
    <s v="Dr. R. Singh"/>
    <s v="Other"/>
    <n v="49"/>
    <n v="126056.09"/>
    <n v="11"/>
    <n v="78"/>
    <x v="0"/>
    <x v="1"/>
  </r>
  <r>
    <s v="P1165"/>
    <s v="Pediatrics"/>
    <s v="Surgery"/>
    <s v="Dr. R. Singh"/>
    <s v="Male"/>
    <n v="48"/>
    <n v="10911.55"/>
    <n v="19"/>
    <n v="47"/>
    <x v="1"/>
    <x v="1"/>
  </r>
  <r>
    <s v="P1010"/>
    <s v="Pediatrics"/>
    <s v="Medication"/>
    <s v="Dr. T. Mehta"/>
    <s v="Other"/>
    <n v="56"/>
    <n v="116558.38"/>
    <n v="24"/>
    <n v="48"/>
    <x v="0"/>
    <x v="1"/>
  </r>
  <r>
    <s v="P1161"/>
    <s v="Pediatrics"/>
    <s v="Therapy"/>
    <s v="Dr. A. Sharma"/>
    <s v="Male"/>
    <n v="80"/>
    <n v="140818.37"/>
    <n v="9"/>
    <n v="42"/>
    <x v="0"/>
    <x v="2"/>
  </r>
  <r>
    <s v="P1012"/>
    <s v="Pediatrics"/>
    <s v="Observation"/>
    <s v="Dr. M. Patel"/>
    <s v="Female"/>
    <n v="62"/>
    <n v="148179.98000000001"/>
    <n v="11"/>
    <n v="87"/>
    <x v="0"/>
    <x v="0"/>
  </r>
  <r>
    <s v="P1157"/>
    <s v="Pediatrics"/>
    <s v="Observation"/>
    <s v="Dr. T. Mehta"/>
    <s v="Male"/>
    <n v="6"/>
    <n v="116568.72"/>
    <n v="24"/>
    <n v="65"/>
    <x v="0"/>
    <x v="5"/>
  </r>
  <r>
    <s v="P1149"/>
    <s v="Pediatrics"/>
    <s v="Therapy"/>
    <s v="Dr. R. Singh"/>
    <s v="Female"/>
    <n v="78"/>
    <n v="15165.98"/>
    <n v="25"/>
    <n v="86"/>
    <x v="1"/>
    <x v="2"/>
  </r>
  <r>
    <s v="P1143"/>
    <s v="Pediatrics"/>
    <s v="Surgery"/>
    <s v="Dr. R. Singh"/>
    <s v="Female"/>
    <n v="57"/>
    <n v="121600.57"/>
    <n v="19"/>
    <n v="94"/>
    <x v="0"/>
    <x v="1"/>
  </r>
  <r>
    <s v="P1137"/>
    <s v="Pediatrics"/>
    <s v="Observation"/>
    <s v="Dr. M. Patel"/>
    <s v="Other"/>
    <n v="27"/>
    <n v="79666.86"/>
    <n v="16"/>
    <n v="85"/>
    <x v="0"/>
    <x v="3"/>
  </r>
  <r>
    <s v="P1129"/>
    <s v="Pediatrics"/>
    <s v="Surgery"/>
    <s v="Dr. R. Singh"/>
    <s v="Female"/>
    <n v="73"/>
    <n v="148956.56"/>
    <n v="6"/>
    <n v="100"/>
    <x v="0"/>
    <x v="0"/>
  </r>
  <r>
    <s v="P1127"/>
    <s v="Pediatrics"/>
    <s v="Surgery"/>
    <s v="Dr. T. Mehta"/>
    <s v="Male"/>
    <n v="88"/>
    <n v="50993.47"/>
    <n v="4"/>
    <n v="82"/>
    <x v="1"/>
    <x v="2"/>
  </r>
  <r>
    <s v="P1019"/>
    <s v="Pediatrics"/>
    <s v="Surgery"/>
    <s v="Dr. T. Mehta"/>
    <s v="Male"/>
    <n v="1"/>
    <n v="43174.44"/>
    <n v="24"/>
    <n v="100"/>
    <x v="1"/>
    <x v="6"/>
  </r>
  <r>
    <s v="P1123"/>
    <s v="Pediatrics"/>
    <s v="Observation"/>
    <s v="Dr. A. Sharma"/>
    <s v="Female"/>
    <n v="30"/>
    <n v="91267.91"/>
    <n v="17"/>
    <n v="76"/>
    <x v="0"/>
    <x v="4"/>
  </r>
  <r>
    <s v="P1021"/>
    <s v="Pediatrics"/>
    <s v="Therapy"/>
    <s v="Dr. A. Sharma"/>
    <s v="Male"/>
    <n v="31"/>
    <n v="51842.34"/>
    <n v="15"/>
    <n v="74"/>
    <x v="1"/>
    <x v="4"/>
  </r>
  <r>
    <s v="P1120"/>
    <s v="Pediatrics"/>
    <s v="Medication"/>
    <s v="Dr. T. Mehta"/>
    <s v="Female"/>
    <n v="48"/>
    <n v="117464.18"/>
    <n v="2"/>
    <n v="61"/>
    <x v="0"/>
    <x v="1"/>
  </r>
  <r>
    <s v="P1108"/>
    <s v="Pediatrics"/>
    <s v="Medication"/>
    <s v="Dr. M. Patel"/>
    <s v="Other"/>
    <n v="62"/>
    <n v="34938.57"/>
    <n v="8"/>
    <n v="70"/>
    <x v="1"/>
    <x v="0"/>
  </r>
  <r>
    <s v="P1105"/>
    <s v="Pediatrics"/>
    <s v="Observation"/>
    <s v="Dr. A. Sharma"/>
    <s v="Female"/>
    <n v="52"/>
    <n v="97685.72"/>
    <n v="28"/>
    <n v="59"/>
    <x v="0"/>
    <x v="1"/>
  </r>
  <r>
    <s v="P1025"/>
    <s v="Pediatrics"/>
    <s v="Medication"/>
    <s v="Dr. L. Khan"/>
    <s v="Male"/>
    <n v="35"/>
    <n v="54350.5"/>
    <n v="24"/>
    <n v="70"/>
    <x v="1"/>
    <x v="4"/>
  </r>
  <r>
    <s v="P1098"/>
    <s v="Pediatrics"/>
    <s v="Therapy"/>
    <s v="Dr. L. Khan"/>
    <s v="Other"/>
    <n v="35"/>
    <n v="85523.17"/>
    <n v="30"/>
    <n v="90"/>
    <x v="0"/>
    <x v="4"/>
  </r>
  <r>
    <s v="P1092"/>
    <s v="Pediatrics"/>
    <s v="Therapy"/>
    <s v="Dr. M. Patel"/>
    <s v="Other"/>
    <n v="66"/>
    <n v="54562.1"/>
    <n v="21"/>
    <n v="86"/>
    <x v="1"/>
    <x v="0"/>
  </r>
  <r>
    <s v="P1088"/>
    <s v="Pediatrics"/>
    <s v="Surgery"/>
    <s v="Dr. L. Khan"/>
    <s v="Male"/>
    <n v="37"/>
    <n v="8578.83"/>
    <n v="2"/>
    <n v="90"/>
    <x v="1"/>
    <x v="4"/>
  </r>
  <r>
    <s v="P1087"/>
    <s v="Pediatrics"/>
    <s v="Medication"/>
    <s v="Dr. M. Patel"/>
    <s v="Other"/>
    <n v="1"/>
    <n v="16874.009999999998"/>
    <n v="14"/>
    <n v="76"/>
    <x v="1"/>
    <x v="6"/>
  </r>
  <r>
    <s v="P1085"/>
    <s v="Pediatrics"/>
    <s v="Medication"/>
    <s v="Dr. M. Patel"/>
    <s v="Other"/>
    <n v="40"/>
    <n v="19717.900000000001"/>
    <n v="20"/>
    <n v="63"/>
    <x v="1"/>
    <x v="4"/>
  </r>
  <r>
    <s v="P1059"/>
    <s v="Pediatrics"/>
    <s v="Observation"/>
    <s v="Dr. M. Patel"/>
    <s v="Male"/>
    <n v="75"/>
    <n v="79671.37"/>
    <n v="30"/>
    <n v="43"/>
    <x v="0"/>
    <x v="2"/>
  </r>
  <r>
    <s v="P1057"/>
    <s v="Pediatrics"/>
    <s v="Therapy"/>
    <s v="Dr. L. Khan"/>
    <s v="Male"/>
    <n v="7"/>
    <n v="127110.45"/>
    <n v="30"/>
    <n v="100"/>
    <x v="0"/>
    <x v="5"/>
  </r>
  <r>
    <s v="P1049"/>
    <s v="Pediatrics"/>
    <s v="Surgery"/>
    <s v="Dr. L. Khan"/>
    <s v="Male"/>
    <n v="66"/>
    <n v="84096.91"/>
    <n v="18"/>
    <n v="91"/>
    <x v="0"/>
    <x v="0"/>
  </r>
  <r>
    <s v="P1044"/>
    <s v="Pediatrics"/>
    <s v="Observation"/>
    <s v="Dr. T. Mehta"/>
    <s v="Male"/>
    <n v="62"/>
    <n v="149340.16"/>
    <n v="18"/>
    <n v="49"/>
    <x v="0"/>
    <x v="0"/>
  </r>
  <r>
    <s v="P1041"/>
    <s v="Pediatrics"/>
    <s v="Observation"/>
    <s v="Dr. T. Mehta"/>
    <s v="Male"/>
    <n v="31"/>
    <n v="113414.83"/>
    <n v="8"/>
    <n v="70"/>
    <x v="0"/>
    <x v="4"/>
  </r>
  <r>
    <s v="P1040"/>
    <s v="Pediatrics"/>
    <s v="Surgery"/>
    <s v="Dr. T. Mehta"/>
    <s v="Male"/>
    <n v="14"/>
    <n v="9067.3799999999992"/>
    <n v="28"/>
    <n v="86"/>
    <x v="1"/>
    <x v="7"/>
  </r>
  <r>
    <s v="P1037"/>
    <s v="Pediatrics"/>
    <s v="Therapy"/>
    <s v="Dr. M. Patel"/>
    <s v="Female"/>
    <n v="41"/>
    <n v="143381.07"/>
    <n v="1"/>
    <n v="87"/>
    <x v="0"/>
    <x v="4"/>
  </r>
  <r>
    <s v="P1038"/>
    <s v="Pediatrics"/>
    <s v="Therapy"/>
    <s v="Dr. M. Patel"/>
    <s v="Male"/>
    <n v="3"/>
    <n v="50045.440000000002"/>
    <n v="15"/>
    <n v="84"/>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52FA0F-D8D7-4A1C-80CC-82E9AED5141F}"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6" firstHeaderRow="1" firstDataRow="1" firstDataCol="1"/>
  <pivotFields count="11">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s>
  <rowFields count="1">
    <field x="9"/>
  </rowFields>
  <rowItems count="3">
    <i>
      <x/>
    </i>
    <i>
      <x v="1"/>
    </i>
    <i t="grand">
      <x/>
    </i>
  </rowItems>
  <colItems count="1">
    <i/>
  </colItems>
  <dataFields count="1">
    <dataField name="Average of Recovery Score" fld="8" subtotal="average" baseField="9"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9" count="1" selected="0">
            <x v="0"/>
          </reference>
        </references>
      </pivotArea>
    </chartFormat>
    <chartFormat chart="4" format="1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Department">
  <location ref="A3:D10" firstHeaderRow="0" firstDataRow="1" firstDataCol="1"/>
  <pivotFields count="9">
    <pivotField showAll="0"/>
    <pivotField axis="axisRow" showAll="0" sortType="descending">
      <items count="7">
        <item x="1"/>
        <item x="2"/>
        <item x="5"/>
        <item x="4"/>
        <item x="0"/>
        <item x="3"/>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s>
  <rowFields count="1">
    <field x="1"/>
  </rowFields>
  <rowItems count="7">
    <i>
      <x/>
    </i>
    <i>
      <x v="1"/>
    </i>
    <i>
      <x v="2"/>
    </i>
    <i>
      <x v="3"/>
    </i>
    <i>
      <x v="4"/>
    </i>
    <i>
      <x v="5"/>
    </i>
    <i t="grand">
      <x/>
    </i>
  </rowItems>
  <colFields count="1">
    <field x="-2"/>
  </colFields>
  <colItems count="3">
    <i>
      <x/>
    </i>
    <i i="1">
      <x v="1"/>
    </i>
    <i i="2">
      <x v="2"/>
    </i>
  </colItems>
  <dataFields count="3">
    <dataField name="Average of Recovery Score" fld="8" subtotal="average" baseField="0" baseItem="9"/>
    <dataField name="Min of Recovery Score2" fld="8" subtotal="min" baseField="0" baseItem="9"/>
    <dataField name="StdDev of Recovery Score3" fld="8" subtotal="stdDev" baseField="0" baseItem="9"/>
  </dataFields>
  <chartFormats count="7">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pivotArea type="data" outline="0" fieldPosition="0">
        <references count="2">
          <reference field="4294967294" count="1" selected="0">
            <x v="0"/>
          </reference>
          <reference field="1" count="1" selected="0">
            <x v="5"/>
          </reference>
        </references>
      </pivotArea>
    </chartFormat>
    <chartFormat chart="10" format="7"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5D5AFF-B33C-46D2-AF1B-D318BD0D6879}" name="PivotTable1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7:B60" firstHeaderRow="1" firstDataRow="1" firstDataCol="1"/>
  <pivotFields count="11">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s>
  <rowFields count="1">
    <field x="9"/>
  </rowFields>
  <rowItems count="3">
    <i>
      <x/>
    </i>
    <i>
      <x v="1"/>
    </i>
    <i t="grand">
      <x/>
    </i>
  </rowItems>
  <colItems count="1">
    <i/>
  </colItems>
  <dataFields count="1">
    <dataField name="Average of Recovery Score" fld="8" subtotal="average" baseField="9"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rowHeaderCaption="Treatment Type">
  <location ref="A40:B45" firstHeaderRow="1" firstDataRow="1" firstDataCol="1"/>
  <pivotFields count="9">
    <pivotField showAll="0"/>
    <pivotField showAll="0" sortType="descending">
      <items count="7">
        <item x="1"/>
        <item x="2"/>
        <item x="5"/>
        <item x="4"/>
        <item x="0"/>
        <item x="3"/>
        <item t="default"/>
      </items>
    </pivotField>
    <pivotField axis="axisRow" showAll="0" sortType="descending">
      <items count="5">
        <item x="0"/>
        <item x="3"/>
        <item x="2"/>
        <item x="1"/>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Average of Recovery Score" fld="8" subtotal="average" baseField="4" baseItem="0"/>
  </dataFields>
  <chartFormats count="6">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2" count="1" selected="0">
            <x v="2"/>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Gender">
  <location ref="A31:B35" firstHeaderRow="1" firstDataRow="1" firstDataCol="1"/>
  <pivotFields count="9">
    <pivotField showAll="0"/>
    <pivotField showAll="0" sortType="descending">
      <items count="7">
        <item x="1"/>
        <item x="2"/>
        <item x="5"/>
        <item x="4"/>
        <item x="0"/>
        <item x="3"/>
        <item t="default"/>
      </items>
    </pivotField>
    <pivotField showAll="0">
      <items count="5">
        <item x="1"/>
        <item x="2"/>
        <item x="3"/>
        <item x="0"/>
        <item t="default"/>
      </items>
    </pivotField>
    <pivotField showAll="0">
      <items count="6">
        <item x="3"/>
        <item x="0"/>
        <item x="1"/>
        <item x="4"/>
        <item x="2"/>
        <item t="default"/>
      </items>
    </pivotField>
    <pivotField axis="axisRow" showAll="0">
      <items count="4">
        <item x="0"/>
        <item x="1"/>
        <item x="2"/>
        <item t="default"/>
      </items>
    </pivotField>
    <pivotField showAll="0"/>
    <pivotField showAll="0"/>
    <pivotField showAll="0"/>
    <pivotField dataField="1" showAll="0"/>
  </pivotFields>
  <rowFields count="1">
    <field x="4"/>
  </rowFields>
  <rowItems count="4">
    <i>
      <x/>
    </i>
    <i>
      <x v="1"/>
    </i>
    <i>
      <x v="2"/>
    </i>
    <i t="grand">
      <x/>
    </i>
  </rowItems>
  <colItems count="1">
    <i/>
  </colItems>
  <dataFields count="1">
    <dataField name="Average of Recovery Score" fld="8" subtotal="average" baseField="4" baseItem="0"/>
  </dataFields>
  <chartFormats count="9">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4" count="1" selected="0">
            <x v="0"/>
          </reference>
        </references>
      </pivotArea>
    </chartFormat>
    <chartFormat chart="9" format="10">
      <pivotArea type="data" outline="0" fieldPosition="0">
        <references count="2">
          <reference field="4294967294" count="1" selected="0">
            <x v="0"/>
          </reference>
          <reference field="4" count="1" selected="0">
            <x v="1"/>
          </reference>
        </references>
      </pivotArea>
    </chartFormat>
    <chartFormat chart="9"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Doctor Name">
  <location ref="A17:B23" firstHeaderRow="1" firstDataRow="1" firstDataCol="1"/>
  <pivotFields count="9">
    <pivotField showAll="0"/>
    <pivotField showAll="0" sortType="descending">
      <items count="7">
        <item x="1"/>
        <item x="2"/>
        <item x="5"/>
        <item x="4"/>
        <item x="0"/>
        <item x="3"/>
        <item t="default"/>
      </items>
    </pivotField>
    <pivotField showAll="0">
      <items count="5">
        <item x="1"/>
        <item x="2"/>
        <item x="3"/>
        <item x="0"/>
        <item t="default"/>
      </items>
    </pivotField>
    <pivotField axis="axisRow"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Average of Recovery Score" fld="8" subtotal="average" baseField="3"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400-000000000000}" autoFormatId="16" applyNumberFormats="0" applyBorderFormats="0" applyFontFormats="0" applyPatternFormats="0" applyAlignmentFormats="0" applyWidthHeightFormats="0">
  <queryTableRefresh nextId="10">
    <queryTableFields count="9">
      <queryTableField id="1" name="Patient ID" tableColumnId="1"/>
      <queryTableField id="2" name="Department" tableColumnId="2"/>
      <queryTableField id="3" name="Treatment Type" tableColumnId="3"/>
      <queryTableField id="4" name="Doctor Name" tableColumnId="4"/>
      <queryTableField id="5" name="Gender" tableColumnId="5"/>
      <queryTableField id="6" name="Age" tableColumnId="6"/>
      <queryTableField id="7" name="Treatment Cost" tableColumnId="7"/>
      <queryTableField id="8" name="Hospital Stay (Days)" tableColumnId="8"/>
      <queryTableField id="9" name="Recovery Scor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289D06D-C70E-498F-B4A3-58DDDDA6E1CF}" sourceName="Department">
  <pivotTables>
    <pivotTable tabId="3" name="PivotTable3"/>
  </pivotTables>
  <data>
    <tabular pivotCacheId="631407714">
      <items count="6">
        <i x="3" s="1"/>
        <i x="0" s="1"/>
        <i x="4"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E78B31BA-6A78-45B9-8F8A-5367A366DB36}" sourceName="Treatment Type">
  <pivotTables>
    <pivotTable tabId="3" name="PivotTable3"/>
    <pivotTable tabId="3" name="PivotTable1"/>
    <pivotTable tabId="3" name="PivotTable4"/>
    <pivotTable tabId="3" name="PivotTable5"/>
  </pivotTables>
  <data>
    <tabular pivotCacheId="631407714">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3AC692CA-7A65-42CB-B7A0-AC1F4400600B}" sourceName="Doctor Name">
  <pivotTables>
    <pivotTable tabId="3" name="PivotTable4"/>
  </pivotTables>
  <data>
    <tabular pivotCacheId="631407714">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E7D44A-7270-401D-990C-1469E1E41E1A}" sourceName="Gender">
  <pivotTables>
    <pivotTable tabId="3" name="PivotTable3"/>
    <pivotTable tabId="3" name="PivotTable1"/>
    <pivotTable tabId="3" name="PivotTable4"/>
    <pivotTable tabId="3" name="PivotTable5"/>
  </pivotTables>
  <data>
    <tabular pivotCacheId="6314077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82A75B1-509C-460F-89C1-2132A26D71CA}" cache="Slicer_Department" caption="Department" style="Slicer Style 7" rowHeight="241300"/>
  <slicer name="Treatment Type" xr10:uid="{7D058F70-A8D8-4234-B248-76B7CD97195E}" cache="Slicer_Treatment_Type" caption="Treatment Type" style="Slicer Style 7" rowHeight="241300"/>
  <slicer name="Doctor Name" xr10:uid="{625993A3-A071-45D3-A270-B42BDA58F2FB}" cache="Slicer_Doctor_Name" caption="Doctor Name" style="Slicer Style 7" rowHeight="241300"/>
  <slicer name="Gender" xr10:uid="{61408527-9C65-4FBC-ABA8-35C51C48A054}" cache="Slicer_Gender" caption="Gender" style="Slicer Style 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451545D-2C5A-468C-9362-4B2B6C2ACEA2}" cache="Slicer_Department" caption="Department" style="Slicer Style 7" rowHeight="241300"/>
  <slicer name="Treatment Type 1" xr10:uid="{3CCA2570-C1D2-4AA9-B301-121BCF15E25C}" cache="Slicer_Treatment_Type" caption="Treatment Type" style="Slicer Style 7" rowHeight="241300"/>
  <slicer name="Doctor Name 1" xr10:uid="{95CDB610-DABB-4876-B5FD-CE5F70A53869}" cache="Slicer_Doctor_Name" caption="Doctor Name" style="Slicer Style 7" rowHeight="241300"/>
  <slicer name="Gender 1" xr10:uid="{D12EFB74-2F0E-4ADF-8090-510377A38539}" cache="Slicer_Gender" caption="Gender" style="Slicer Style 7"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A1:I201" totalsRowShown="0">
  <autoFilter ref="A1:I201" xr:uid="{00000000-0009-0000-0100-000002000000}"/>
  <tableColumns count="9">
    <tableColumn id="1" xr3:uid="{00000000-0010-0000-0400-000001000000}" name="Patient ID"/>
    <tableColumn id="2" xr3:uid="{00000000-0010-0000-0400-000002000000}" name="Department"/>
    <tableColumn id="3" xr3:uid="{00000000-0010-0000-0400-000003000000}" name="Treatment Type"/>
    <tableColumn id="4" xr3:uid="{00000000-0010-0000-0400-000004000000}" name="Doctor Name"/>
    <tableColumn id="5" xr3:uid="{00000000-0010-0000-0400-000005000000}" name="Gender"/>
    <tableColumn id="6" xr3:uid="{00000000-0010-0000-0400-000006000000}" name="Age"/>
    <tableColumn id="7" xr3:uid="{00000000-0010-0000-0400-000007000000}" name="Treatment Cost"/>
    <tableColumn id="8" xr3:uid="{00000000-0010-0000-0400-000008000000}" name="Hospital Stay (Days)"/>
    <tableColumn id="9" xr3:uid="{00000000-0010-0000-0400-000009000000}" name="Recovery 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A1:I32" totalsRowShown="0">
  <autoFilter ref="A1:I32" xr:uid="{00000000-0009-0000-0100-000005000000}"/>
  <tableColumns count="9">
    <tableColumn id="1" xr3:uid="{00000000-0010-0000-0100-000001000000}" name=" c  "/>
    <tableColumn id="2" xr3:uid="{00000000-0010-0000-0100-000002000000}" name="Department"/>
    <tableColumn id="3" xr3:uid="{00000000-0010-0000-0100-000003000000}" name="1Qa"/>
    <tableColumn id="4" xr3:uid="{00000000-0010-0000-0100-000004000000}" name="qqA"/>
    <tableColumn id="5" xr3:uid="{00000000-0010-0000-0100-000005000000}" name="q"/>
    <tableColumn id="6" xr3:uid="{00000000-0010-0000-0100-000006000000}" name="Age"/>
    <tableColumn id="7" xr3:uid="{00000000-0010-0000-0100-000007000000}" name="Treatment Cost"/>
    <tableColumn id="8" xr3:uid="{00000000-0010-0000-0100-000008000000}" name="Hospital Stay (Days)"/>
    <tableColumn id="9" xr3:uid="{00000000-0010-0000-0100-000009000000}" name="Recovery Sco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A1:I39" totalsRowShown="0">
  <autoFilter ref="A1:I39" xr:uid="{00000000-0009-0000-0100-000006000000}"/>
  <tableColumns count="9">
    <tableColumn id="1" xr3:uid="{00000000-0010-0000-0200-000001000000}" name="Patient ID"/>
    <tableColumn id="2" xr3:uid="{00000000-0010-0000-0200-000002000000}" name="Department"/>
    <tableColumn id="3" xr3:uid="{00000000-0010-0000-0200-000003000000}" name="Treatment Type"/>
    <tableColumn id="4" xr3:uid="{00000000-0010-0000-0200-000004000000}" name="Doctor Name"/>
    <tableColumn id="5" xr3:uid="{00000000-0010-0000-0200-000005000000}" name="Gender"/>
    <tableColumn id="6" xr3:uid="{00000000-0010-0000-0200-000006000000}" name="Age"/>
    <tableColumn id="7" xr3:uid="{00000000-0010-0000-0200-000007000000}" name="Treatment Cost"/>
    <tableColumn id="8" xr3:uid="{00000000-0010-0000-0200-000008000000}" name="Hospital Stay (Days)"/>
    <tableColumn id="9" xr3:uid="{00000000-0010-0000-0200-000009000000}" name="Recovery Sco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2_2" displayName="Table2_2" ref="A1:I201" tableType="queryTable" totalsRowShown="0">
  <autoFilter ref="A1:I201" xr:uid="{00000000-0009-0000-0100-000003000000}"/>
  <tableColumns count="9">
    <tableColumn id="1" xr3:uid="{00000000-0010-0000-0300-000001000000}" uniqueName="1" name="Patient ID" queryTableFieldId="1" dataDxfId="6"/>
    <tableColumn id="2" xr3:uid="{00000000-0010-0000-0300-000002000000}" uniqueName="2" name="Department" queryTableFieldId="2" dataDxfId="5"/>
    <tableColumn id="3" xr3:uid="{00000000-0010-0000-0300-000003000000}" uniqueName="3" name="Treatment Type" queryTableFieldId="3" dataDxfId="4"/>
    <tableColumn id="4" xr3:uid="{00000000-0010-0000-0300-000004000000}" uniqueName="4" name="Doctor Name" queryTableFieldId="4" dataDxfId="3"/>
    <tableColumn id="5" xr3:uid="{00000000-0010-0000-0300-000005000000}" uniqueName="5" name="Gender" queryTableFieldId="5" dataDxfId="2"/>
    <tableColumn id="6" xr3:uid="{00000000-0010-0000-0300-000006000000}" uniqueName="6" name="Age" queryTableFieldId="6"/>
    <tableColumn id="7" xr3:uid="{00000000-0010-0000-0300-000007000000}" uniqueName="7" name="Treatment Cost" queryTableFieldId="7"/>
    <tableColumn id="8" xr3:uid="{00000000-0010-0000-0300-000008000000}" uniqueName="8" name="Hospital Stay (Days)" queryTableFieldId="8"/>
    <tableColumn id="9" xr3:uid="{00000000-0010-0000-0300-000009000000}" uniqueName="9" name="Recovery Score" queryTableField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K39" totalsRowShown="0">
  <autoFilter ref="A1:K39" xr:uid="{00000000-0009-0000-0100-000004000000}"/>
  <tableColumns count="11">
    <tableColumn id="1" xr3:uid="{00000000-0010-0000-0000-000001000000}" name="Patient ID"/>
    <tableColumn id="2" xr3:uid="{00000000-0010-0000-0000-000002000000}" name="Department"/>
    <tableColumn id="3" xr3:uid="{00000000-0010-0000-0000-000003000000}" name="Treatment Type"/>
    <tableColumn id="4" xr3:uid="{00000000-0010-0000-0000-000004000000}" name="Doctor Name"/>
    <tableColumn id="5" xr3:uid="{00000000-0010-0000-0000-000005000000}" name="Gender"/>
    <tableColumn id="6" xr3:uid="{00000000-0010-0000-0000-000006000000}" name="Age"/>
    <tableColumn id="7" xr3:uid="{00000000-0010-0000-0000-000007000000}" name="Treatment Cost"/>
    <tableColumn id="8" xr3:uid="{00000000-0010-0000-0000-000008000000}" name="Hospital Stay (Days)"/>
    <tableColumn id="9" xr3:uid="{00000000-0010-0000-0000-000009000000}" name="Recovery Score"/>
    <tableColumn id="10" xr3:uid="{0C522A90-A2F1-42A7-A020-EAC03133B0ED}" name="Treatment Cost Category" dataDxfId="1">
      <calculatedColumnFormula>IF(Table4[[#This Row],[Treatment Cost]]&gt;77778.57, "High Cost", "Low Cost")</calculatedColumnFormula>
    </tableColumn>
    <tableColumn id="11" xr3:uid="{430074A6-D930-4B6B-8528-0F34373B2397}" name="Age Group Category" dataDxfId="0">
      <calculatedColumnFormula array="1">_xlfn.IFS(Table4[[#This Row],[Age]]&lt;3,"Infant/Toddler",Table4[[#This Row],[Age]]&lt;13,"Child",Table4[[#This Row],[Age]]&lt;20,"Teenager",Table4[[#This Row],[Age]]&lt;30,"Young Adult",Table4[[#This Row],[Age]]&lt;45,"Adult",Table4[[#This Row],[Age]]&lt;60,"Middle-aged",Table4[[#This Row],[Age]]&lt;75,"Senior",Table4[[#This Row],[Age]]&gt;=75,"Elderly")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24F45-451F-4A11-912E-70DB349ADE00}">
  <dimension ref="A3:B26"/>
  <sheetViews>
    <sheetView topLeftCell="A9" workbookViewId="0">
      <selection activeCell="A18" sqref="A18:B26"/>
    </sheetView>
  </sheetViews>
  <sheetFormatPr defaultRowHeight="15" x14ac:dyDescent="0.25"/>
  <cols>
    <col min="1" max="1" width="13.140625" bestFit="1" customWidth="1"/>
    <col min="2" max="2" width="24.85546875" bestFit="1" customWidth="1"/>
  </cols>
  <sheetData>
    <row r="3" spans="1:2" x14ac:dyDescent="0.25">
      <c r="A3" s="1" t="s">
        <v>237</v>
      </c>
      <c r="B3" t="s">
        <v>228</v>
      </c>
    </row>
    <row r="4" spans="1:2" x14ac:dyDescent="0.25">
      <c r="A4" s="2" t="s">
        <v>238</v>
      </c>
      <c r="B4">
        <v>73.55</v>
      </c>
    </row>
    <row r="5" spans="1:2" x14ac:dyDescent="0.25">
      <c r="A5" s="2" t="s">
        <v>239</v>
      </c>
      <c r="B5">
        <v>72.666666666666671</v>
      </c>
    </row>
    <row r="6" spans="1:2" x14ac:dyDescent="0.25">
      <c r="A6" s="2" t="s">
        <v>227</v>
      </c>
      <c r="B6">
        <v>73.131578947368425</v>
      </c>
    </row>
    <row r="18" spans="1:2" x14ac:dyDescent="0.25">
      <c r="A18" t="s">
        <v>237</v>
      </c>
      <c r="B18" t="s">
        <v>228</v>
      </c>
    </row>
    <row r="19" spans="1:2" x14ac:dyDescent="0.25">
      <c r="A19" t="s">
        <v>240</v>
      </c>
      <c r="B19">
        <v>73.8</v>
      </c>
    </row>
    <row r="20" spans="1:2" x14ac:dyDescent="0.25">
      <c r="A20" t="s">
        <v>241</v>
      </c>
      <c r="B20">
        <v>77.75</v>
      </c>
    </row>
    <row r="21" spans="1:2" x14ac:dyDescent="0.25">
      <c r="A21" t="s">
        <v>242</v>
      </c>
      <c r="B21">
        <v>88</v>
      </c>
    </row>
    <row r="22" spans="1:2" x14ac:dyDescent="0.25">
      <c r="A22" t="s">
        <v>243</v>
      </c>
      <c r="B22">
        <v>61.285714285714285</v>
      </c>
    </row>
    <row r="23" spans="1:2" x14ac:dyDescent="0.25">
      <c r="A23" t="s">
        <v>244</v>
      </c>
      <c r="B23">
        <v>75.333333333333329</v>
      </c>
    </row>
    <row r="24" spans="1:2" x14ac:dyDescent="0.25">
      <c r="A24" t="s">
        <v>245</v>
      </c>
      <c r="B24">
        <v>86</v>
      </c>
    </row>
    <row r="25" spans="1:2" x14ac:dyDescent="0.25">
      <c r="A25" t="s">
        <v>246</v>
      </c>
      <c r="B25">
        <v>67.5</v>
      </c>
    </row>
    <row r="26" spans="1:2" x14ac:dyDescent="0.25">
      <c r="A26" t="s">
        <v>227</v>
      </c>
      <c r="B26">
        <v>73.131578947368425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1"/>
  <sheetViews>
    <sheetView workbookViewId="0">
      <selection activeCell="C20" sqref="C20"/>
    </sheetView>
  </sheetViews>
  <sheetFormatPr defaultRowHeight="15" x14ac:dyDescent="0.25"/>
  <cols>
    <col min="1" max="1" width="11.85546875" customWidth="1"/>
    <col min="2" max="2" width="16.5703125" bestFit="1" customWidth="1"/>
    <col min="3" max="3" width="17.140625" customWidth="1"/>
    <col min="4" max="4" width="14.7109375" customWidth="1"/>
    <col min="5" max="5" width="9.85546875" customWidth="1"/>
    <col min="7" max="7" width="16.7109375" customWidth="1"/>
    <col min="8" max="8" width="20.5703125" customWidth="1"/>
    <col min="9" max="9" width="16.5703125" customWidth="1"/>
    <col min="11" max="11" width="1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v>12</v>
      </c>
      <c r="G2">
        <v>68632.97</v>
      </c>
      <c r="H2">
        <v>21</v>
      </c>
      <c r="I2">
        <v>82</v>
      </c>
    </row>
    <row r="3" spans="1:9" x14ac:dyDescent="0.25">
      <c r="A3" t="s">
        <v>14</v>
      </c>
      <c r="B3" t="s">
        <v>15</v>
      </c>
      <c r="C3" t="s">
        <v>16</v>
      </c>
      <c r="D3" t="s">
        <v>17</v>
      </c>
      <c r="E3" t="s">
        <v>18</v>
      </c>
      <c r="F3">
        <v>52</v>
      </c>
      <c r="G3">
        <v>10231.42</v>
      </c>
      <c r="H3">
        <v>20</v>
      </c>
      <c r="I3">
        <v>42</v>
      </c>
    </row>
    <row r="4" spans="1:9" x14ac:dyDescent="0.25">
      <c r="A4" t="s">
        <v>19</v>
      </c>
      <c r="B4" t="s">
        <v>15</v>
      </c>
      <c r="C4" t="s">
        <v>11</v>
      </c>
      <c r="D4" t="s">
        <v>12</v>
      </c>
      <c r="E4" t="s">
        <v>18</v>
      </c>
      <c r="F4">
        <v>79</v>
      </c>
      <c r="G4">
        <v>10160.24</v>
      </c>
      <c r="H4">
        <v>2</v>
      </c>
      <c r="I4">
        <v>72</v>
      </c>
    </row>
    <row r="5" spans="1:9" x14ac:dyDescent="0.25">
      <c r="A5" t="s">
        <v>20</v>
      </c>
      <c r="B5" t="s">
        <v>15</v>
      </c>
      <c r="C5" t="s">
        <v>11</v>
      </c>
      <c r="D5" t="s">
        <v>12</v>
      </c>
      <c r="E5" t="s">
        <v>13</v>
      </c>
      <c r="F5">
        <v>23</v>
      </c>
      <c r="G5">
        <v>103508.96</v>
      </c>
      <c r="H5">
        <v>20</v>
      </c>
      <c r="I5">
        <v>50</v>
      </c>
    </row>
    <row r="6" spans="1:9" x14ac:dyDescent="0.25">
      <c r="A6" t="s">
        <v>21</v>
      </c>
      <c r="B6" t="s">
        <v>22</v>
      </c>
      <c r="C6" t="s">
        <v>16</v>
      </c>
      <c r="D6" t="s">
        <v>23</v>
      </c>
      <c r="E6" t="s">
        <v>13</v>
      </c>
      <c r="F6">
        <v>7</v>
      </c>
      <c r="G6">
        <v>143427.51999999999</v>
      </c>
      <c r="H6">
        <v>6</v>
      </c>
      <c r="I6">
        <v>43</v>
      </c>
    </row>
    <row r="7" spans="1:9" x14ac:dyDescent="0.25">
      <c r="A7" t="s">
        <v>24</v>
      </c>
      <c r="B7" t="s">
        <v>25</v>
      </c>
      <c r="C7" t="s">
        <v>16</v>
      </c>
      <c r="D7" t="s">
        <v>26</v>
      </c>
      <c r="E7" t="s">
        <v>13</v>
      </c>
      <c r="F7">
        <v>78</v>
      </c>
      <c r="G7">
        <v>146252.19</v>
      </c>
      <c r="H7">
        <v>9</v>
      </c>
      <c r="I7">
        <v>41</v>
      </c>
    </row>
    <row r="8" spans="1:9" x14ac:dyDescent="0.25">
      <c r="A8" t="s">
        <v>27</v>
      </c>
      <c r="B8" t="s">
        <v>25</v>
      </c>
      <c r="C8" t="s">
        <v>28</v>
      </c>
      <c r="D8" t="s">
        <v>17</v>
      </c>
      <c r="E8" t="s">
        <v>29</v>
      </c>
      <c r="F8">
        <v>30</v>
      </c>
      <c r="G8">
        <v>54393.48</v>
      </c>
      <c r="H8">
        <v>1</v>
      </c>
      <c r="I8">
        <v>42</v>
      </c>
    </row>
    <row r="9" spans="1:9" x14ac:dyDescent="0.25">
      <c r="A9" t="s">
        <v>30</v>
      </c>
      <c r="B9" t="s">
        <v>31</v>
      </c>
      <c r="C9" t="s">
        <v>28</v>
      </c>
      <c r="D9" t="s">
        <v>32</v>
      </c>
      <c r="E9" t="s">
        <v>29</v>
      </c>
      <c r="F9">
        <v>68</v>
      </c>
      <c r="G9">
        <v>30452.22</v>
      </c>
      <c r="H9">
        <v>6</v>
      </c>
      <c r="I9">
        <v>77</v>
      </c>
    </row>
    <row r="10" spans="1:9" x14ac:dyDescent="0.25">
      <c r="A10" t="s">
        <v>33</v>
      </c>
      <c r="B10" t="s">
        <v>10</v>
      </c>
      <c r="C10" t="s">
        <v>28</v>
      </c>
      <c r="D10" t="s">
        <v>12</v>
      </c>
      <c r="E10" t="s">
        <v>29</v>
      </c>
      <c r="F10">
        <v>41</v>
      </c>
      <c r="G10">
        <v>79517.25</v>
      </c>
      <c r="H10">
        <v>9</v>
      </c>
      <c r="I10">
        <v>62</v>
      </c>
    </row>
    <row r="11" spans="1:9" x14ac:dyDescent="0.25">
      <c r="A11" t="s">
        <v>34</v>
      </c>
      <c r="B11" t="s">
        <v>15</v>
      </c>
      <c r="C11" t="s">
        <v>16</v>
      </c>
      <c r="D11" t="s">
        <v>23</v>
      </c>
      <c r="E11" t="s">
        <v>29</v>
      </c>
      <c r="F11">
        <v>56</v>
      </c>
      <c r="G11">
        <v>116558.38</v>
      </c>
      <c r="H11">
        <v>24</v>
      </c>
      <c r="I11">
        <v>48</v>
      </c>
    </row>
    <row r="12" spans="1:9" x14ac:dyDescent="0.25">
      <c r="A12" t="s">
        <v>35</v>
      </c>
      <c r="B12" t="s">
        <v>36</v>
      </c>
      <c r="C12" t="s">
        <v>16</v>
      </c>
      <c r="D12" t="s">
        <v>23</v>
      </c>
      <c r="E12" t="s">
        <v>13</v>
      </c>
      <c r="F12">
        <v>24</v>
      </c>
      <c r="G12">
        <v>135883.74</v>
      </c>
      <c r="H12">
        <v>15</v>
      </c>
      <c r="I12">
        <v>54</v>
      </c>
    </row>
    <row r="13" spans="1:9" x14ac:dyDescent="0.25">
      <c r="A13" t="s">
        <v>37</v>
      </c>
      <c r="B13" t="s">
        <v>15</v>
      </c>
      <c r="C13" t="s">
        <v>28</v>
      </c>
      <c r="D13" t="s">
        <v>17</v>
      </c>
      <c r="E13" t="s">
        <v>13</v>
      </c>
      <c r="F13">
        <v>62</v>
      </c>
      <c r="G13">
        <v>148179.98000000001</v>
      </c>
      <c r="H13">
        <v>11</v>
      </c>
      <c r="I13">
        <v>87</v>
      </c>
    </row>
    <row r="14" spans="1:9" x14ac:dyDescent="0.25">
      <c r="A14" t="s">
        <v>38</v>
      </c>
      <c r="B14" t="s">
        <v>25</v>
      </c>
      <c r="C14" t="s">
        <v>28</v>
      </c>
      <c r="D14" t="s">
        <v>32</v>
      </c>
      <c r="E14" t="s">
        <v>13</v>
      </c>
      <c r="F14">
        <v>65</v>
      </c>
      <c r="G14">
        <v>20591.650000000001</v>
      </c>
      <c r="H14">
        <v>28</v>
      </c>
      <c r="I14">
        <v>52</v>
      </c>
    </row>
    <row r="15" spans="1:9" x14ac:dyDescent="0.25">
      <c r="A15" t="s">
        <v>39</v>
      </c>
      <c r="B15" t="s">
        <v>10</v>
      </c>
      <c r="C15" t="s">
        <v>28</v>
      </c>
      <c r="D15" t="s">
        <v>12</v>
      </c>
      <c r="E15" t="s">
        <v>13</v>
      </c>
      <c r="F15">
        <v>13</v>
      </c>
      <c r="G15">
        <v>59149.07</v>
      </c>
      <c r="H15">
        <v>19</v>
      </c>
      <c r="I15">
        <v>86</v>
      </c>
    </row>
    <row r="16" spans="1:9" x14ac:dyDescent="0.25">
      <c r="A16" t="s">
        <v>40</v>
      </c>
      <c r="B16" t="s">
        <v>10</v>
      </c>
      <c r="C16" t="s">
        <v>41</v>
      </c>
      <c r="D16" t="s">
        <v>26</v>
      </c>
      <c r="E16" t="s">
        <v>18</v>
      </c>
      <c r="F16">
        <v>39</v>
      </c>
      <c r="G16">
        <v>59335.72</v>
      </c>
      <c r="H16">
        <v>28</v>
      </c>
      <c r="I16">
        <v>80</v>
      </c>
    </row>
    <row r="17" spans="1:9" x14ac:dyDescent="0.25">
      <c r="A17" t="s">
        <v>42</v>
      </c>
      <c r="B17" t="s">
        <v>22</v>
      </c>
      <c r="C17" t="s">
        <v>16</v>
      </c>
      <c r="D17" t="s">
        <v>12</v>
      </c>
      <c r="E17" t="s">
        <v>18</v>
      </c>
      <c r="F17">
        <v>85</v>
      </c>
      <c r="G17">
        <v>101936.34</v>
      </c>
      <c r="H17">
        <v>27</v>
      </c>
      <c r="I17">
        <v>99</v>
      </c>
    </row>
    <row r="18" spans="1:9" x14ac:dyDescent="0.25">
      <c r="A18" t="s">
        <v>43</v>
      </c>
      <c r="B18" t="s">
        <v>22</v>
      </c>
      <c r="C18" t="s">
        <v>41</v>
      </c>
      <c r="D18" t="s">
        <v>12</v>
      </c>
      <c r="E18" t="s">
        <v>18</v>
      </c>
      <c r="F18">
        <v>52</v>
      </c>
      <c r="G18">
        <v>107481.12</v>
      </c>
      <c r="H18">
        <v>8</v>
      </c>
      <c r="I18">
        <v>93</v>
      </c>
    </row>
    <row r="19" spans="1:9" x14ac:dyDescent="0.25">
      <c r="A19" t="s">
        <v>44</v>
      </c>
      <c r="B19" t="s">
        <v>36</v>
      </c>
      <c r="C19" t="s">
        <v>11</v>
      </c>
      <c r="D19" t="s">
        <v>23</v>
      </c>
      <c r="E19" t="s">
        <v>18</v>
      </c>
      <c r="F19">
        <v>25</v>
      </c>
      <c r="G19">
        <v>142574.53</v>
      </c>
      <c r="H19">
        <v>30</v>
      </c>
      <c r="I19">
        <v>99</v>
      </c>
    </row>
    <row r="20" spans="1:9" x14ac:dyDescent="0.25">
      <c r="A20" t="s">
        <v>45</v>
      </c>
      <c r="B20" t="s">
        <v>15</v>
      </c>
      <c r="C20" t="s">
        <v>41</v>
      </c>
      <c r="D20" t="s">
        <v>23</v>
      </c>
      <c r="E20" t="s">
        <v>18</v>
      </c>
      <c r="F20">
        <v>1</v>
      </c>
      <c r="G20">
        <v>43174.44</v>
      </c>
      <c r="H20">
        <v>24</v>
      </c>
      <c r="I20">
        <v>100</v>
      </c>
    </row>
    <row r="21" spans="1:9" x14ac:dyDescent="0.25">
      <c r="A21" t="s">
        <v>46</v>
      </c>
      <c r="B21" t="s">
        <v>31</v>
      </c>
      <c r="C21" t="s">
        <v>16</v>
      </c>
      <c r="D21" t="s">
        <v>12</v>
      </c>
      <c r="E21" t="s">
        <v>13</v>
      </c>
      <c r="F21">
        <v>3</v>
      </c>
      <c r="G21">
        <v>125171.58</v>
      </c>
      <c r="H21">
        <v>30</v>
      </c>
      <c r="I21">
        <v>89</v>
      </c>
    </row>
    <row r="22" spans="1:9" x14ac:dyDescent="0.25">
      <c r="A22" t="s">
        <v>47</v>
      </c>
      <c r="B22" t="s">
        <v>15</v>
      </c>
      <c r="C22" t="s">
        <v>11</v>
      </c>
      <c r="D22" t="s">
        <v>26</v>
      </c>
      <c r="E22" t="s">
        <v>18</v>
      </c>
      <c r="F22">
        <v>31</v>
      </c>
      <c r="G22">
        <v>51842.34</v>
      </c>
      <c r="H22">
        <v>15</v>
      </c>
      <c r="I22">
        <v>74</v>
      </c>
    </row>
    <row r="23" spans="1:9" x14ac:dyDescent="0.25">
      <c r="A23" t="s">
        <v>48</v>
      </c>
      <c r="B23" t="s">
        <v>36</v>
      </c>
      <c r="C23" t="s">
        <v>11</v>
      </c>
      <c r="D23" t="s">
        <v>26</v>
      </c>
      <c r="E23" t="s">
        <v>18</v>
      </c>
      <c r="F23">
        <v>66</v>
      </c>
      <c r="G23">
        <v>30547.73</v>
      </c>
      <c r="H23">
        <v>11</v>
      </c>
      <c r="I23">
        <v>47</v>
      </c>
    </row>
    <row r="24" spans="1:9" x14ac:dyDescent="0.25">
      <c r="A24" t="s">
        <v>49</v>
      </c>
      <c r="B24" t="s">
        <v>22</v>
      </c>
      <c r="C24" t="s">
        <v>11</v>
      </c>
      <c r="D24" t="s">
        <v>32</v>
      </c>
      <c r="E24" t="s">
        <v>18</v>
      </c>
      <c r="F24">
        <v>68</v>
      </c>
      <c r="G24">
        <v>68961.679999999993</v>
      </c>
      <c r="H24">
        <v>5</v>
      </c>
      <c r="I24">
        <v>67</v>
      </c>
    </row>
    <row r="25" spans="1:9" x14ac:dyDescent="0.25">
      <c r="A25" t="s">
        <v>50</v>
      </c>
      <c r="B25" t="s">
        <v>36</v>
      </c>
      <c r="C25" t="s">
        <v>11</v>
      </c>
      <c r="D25" t="s">
        <v>32</v>
      </c>
      <c r="E25" t="s">
        <v>29</v>
      </c>
      <c r="F25">
        <v>75</v>
      </c>
      <c r="G25">
        <v>89887.05</v>
      </c>
      <c r="H25">
        <v>28</v>
      </c>
      <c r="I25">
        <v>92</v>
      </c>
    </row>
    <row r="26" spans="1:9" x14ac:dyDescent="0.25">
      <c r="A26" t="s">
        <v>51</v>
      </c>
      <c r="B26" t="s">
        <v>15</v>
      </c>
      <c r="C26" t="s">
        <v>16</v>
      </c>
      <c r="D26" t="s">
        <v>12</v>
      </c>
      <c r="E26" t="s">
        <v>18</v>
      </c>
      <c r="F26">
        <v>35</v>
      </c>
      <c r="G26">
        <v>54350.5</v>
      </c>
      <c r="H26">
        <v>24</v>
      </c>
      <c r="I26">
        <v>70</v>
      </c>
    </row>
    <row r="27" spans="1:9" x14ac:dyDescent="0.25">
      <c r="A27" t="s">
        <v>52</v>
      </c>
      <c r="B27" t="s">
        <v>31</v>
      </c>
      <c r="C27" t="s">
        <v>11</v>
      </c>
      <c r="D27" t="s">
        <v>23</v>
      </c>
      <c r="E27" t="s">
        <v>18</v>
      </c>
      <c r="F27">
        <v>56</v>
      </c>
      <c r="G27">
        <v>47635.12</v>
      </c>
      <c r="H27">
        <v>3</v>
      </c>
      <c r="I27">
        <v>47</v>
      </c>
    </row>
    <row r="28" spans="1:9" x14ac:dyDescent="0.25">
      <c r="A28" t="s">
        <v>53</v>
      </c>
      <c r="B28" t="s">
        <v>22</v>
      </c>
      <c r="C28" t="s">
        <v>41</v>
      </c>
      <c r="D28" t="s">
        <v>23</v>
      </c>
      <c r="E28" t="s">
        <v>29</v>
      </c>
      <c r="F28">
        <v>34</v>
      </c>
      <c r="G28">
        <v>136077.99</v>
      </c>
      <c r="H28">
        <v>25</v>
      </c>
      <c r="I28">
        <v>58</v>
      </c>
    </row>
    <row r="29" spans="1:9" x14ac:dyDescent="0.25">
      <c r="A29" t="s">
        <v>54</v>
      </c>
      <c r="B29" t="s">
        <v>25</v>
      </c>
      <c r="C29" t="s">
        <v>11</v>
      </c>
      <c r="D29" t="s">
        <v>23</v>
      </c>
      <c r="E29" t="s">
        <v>18</v>
      </c>
      <c r="F29">
        <v>31</v>
      </c>
      <c r="G29">
        <v>103276.56</v>
      </c>
      <c r="H29">
        <v>30</v>
      </c>
      <c r="I29">
        <v>84</v>
      </c>
    </row>
    <row r="30" spans="1:9" x14ac:dyDescent="0.25">
      <c r="A30" t="s">
        <v>55</v>
      </c>
      <c r="B30" t="s">
        <v>10</v>
      </c>
      <c r="C30" t="s">
        <v>41</v>
      </c>
      <c r="D30" t="s">
        <v>26</v>
      </c>
      <c r="E30" t="s">
        <v>18</v>
      </c>
      <c r="F30">
        <v>25</v>
      </c>
      <c r="G30">
        <v>38676.85</v>
      </c>
      <c r="H30">
        <v>9</v>
      </c>
      <c r="I30">
        <v>70</v>
      </c>
    </row>
    <row r="31" spans="1:9" x14ac:dyDescent="0.25">
      <c r="A31" t="s">
        <v>56</v>
      </c>
      <c r="B31" t="s">
        <v>10</v>
      </c>
      <c r="C31" t="s">
        <v>41</v>
      </c>
      <c r="D31" t="s">
        <v>32</v>
      </c>
      <c r="E31" t="s">
        <v>29</v>
      </c>
      <c r="F31">
        <v>86</v>
      </c>
      <c r="G31">
        <v>35788.22</v>
      </c>
      <c r="H31">
        <v>3</v>
      </c>
      <c r="I31">
        <v>66</v>
      </c>
    </row>
    <row r="32" spans="1:9" x14ac:dyDescent="0.25">
      <c r="A32" t="s">
        <v>57</v>
      </c>
      <c r="B32" t="s">
        <v>36</v>
      </c>
      <c r="C32" t="s">
        <v>16</v>
      </c>
      <c r="D32" t="s">
        <v>12</v>
      </c>
      <c r="E32" t="s">
        <v>18</v>
      </c>
      <c r="F32">
        <v>79</v>
      </c>
      <c r="G32">
        <v>140415.63</v>
      </c>
      <c r="H32">
        <v>16</v>
      </c>
      <c r="I32">
        <v>67</v>
      </c>
    </row>
    <row r="33" spans="1:9" x14ac:dyDescent="0.25">
      <c r="A33" t="s">
        <v>58</v>
      </c>
      <c r="B33" t="s">
        <v>22</v>
      </c>
      <c r="C33" t="s">
        <v>41</v>
      </c>
      <c r="D33" t="s">
        <v>26</v>
      </c>
      <c r="E33" t="s">
        <v>18</v>
      </c>
      <c r="F33">
        <v>51</v>
      </c>
      <c r="G33">
        <v>143365.82999999999</v>
      </c>
      <c r="H33">
        <v>1</v>
      </c>
      <c r="I33">
        <v>58</v>
      </c>
    </row>
    <row r="34" spans="1:9" x14ac:dyDescent="0.25">
      <c r="A34" t="s">
        <v>59</v>
      </c>
      <c r="B34" t="s">
        <v>10</v>
      </c>
      <c r="C34" t="s">
        <v>16</v>
      </c>
      <c r="D34" t="s">
        <v>17</v>
      </c>
      <c r="E34" t="s">
        <v>18</v>
      </c>
      <c r="F34">
        <v>1</v>
      </c>
      <c r="G34">
        <v>101058.07</v>
      </c>
      <c r="H34">
        <v>4</v>
      </c>
      <c r="I34">
        <v>81</v>
      </c>
    </row>
    <row r="35" spans="1:9" x14ac:dyDescent="0.25">
      <c r="A35" t="s">
        <v>60</v>
      </c>
      <c r="B35" t="s">
        <v>22</v>
      </c>
      <c r="C35" t="s">
        <v>11</v>
      </c>
      <c r="D35" t="s">
        <v>12</v>
      </c>
      <c r="E35" t="s">
        <v>29</v>
      </c>
      <c r="F35">
        <v>58</v>
      </c>
      <c r="G35">
        <v>41426.04</v>
      </c>
      <c r="H35">
        <v>6</v>
      </c>
      <c r="I35">
        <v>67</v>
      </c>
    </row>
    <row r="36" spans="1:9" x14ac:dyDescent="0.25">
      <c r="A36" t="s">
        <v>61</v>
      </c>
      <c r="B36" t="s">
        <v>22</v>
      </c>
      <c r="C36" t="s">
        <v>28</v>
      </c>
      <c r="D36" t="s">
        <v>17</v>
      </c>
      <c r="E36" t="s">
        <v>13</v>
      </c>
      <c r="F36">
        <v>15</v>
      </c>
      <c r="G36">
        <v>131454.59</v>
      </c>
      <c r="H36">
        <v>30</v>
      </c>
      <c r="I36">
        <v>83</v>
      </c>
    </row>
    <row r="37" spans="1:9" x14ac:dyDescent="0.25">
      <c r="A37" t="s">
        <v>62</v>
      </c>
      <c r="B37" t="s">
        <v>10</v>
      </c>
      <c r="C37" t="s">
        <v>16</v>
      </c>
      <c r="D37" t="s">
        <v>32</v>
      </c>
      <c r="E37" t="s">
        <v>13</v>
      </c>
      <c r="F37">
        <v>5</v>
      </c>
      <c r="G37">
        <v>48581.36</v>
      </c>
      <c r="H37">
        <v>16</v>
      </c>
      <c r="I37">
        <v>40</v>
      </c>
    </row>
    <row r="38" spans="1:9" x14ac:dyDescent="0.25">
      <c r="A38" t="s">
        <v>63</v>
      </c>
      <c r="B38" t="s">
        <v>15</v>
      </c>
      <c r="C38" t="s">
        <v>11</v>
      </c>
      <c r="D38" t="s">
        <v>17</v>
      </c>
      <c r="E38" t="s">
        <v>13</v>
      </c>
      <c r="F38">
        <v>41</v>
      </c>
      <c r="G38">
        <v>143381.07</v>
      </c>
      <c r="H38">
        <v>1</v>
      </c>
      <c r="I38">
        <v>87</v>
      </c>
    </row>
    <row r="39" spans="1:9" x14ac:dyDescent="0.25">
      <c r="A39" t="s">
        <v>64</v>
      </c>
      <c r="B39" t="s">
        <v>15</v>
      </c>
      <c r="C39" t="s">
        <v>11</v>
      </c>
      <c r="D39" t="s">
        <v>17</v>
      </c>
      <c r="E39" t="s">
        <v>18</v>
      </c>
      <c r="F39">
        <v>3</v>
      </c>
      <c r="G39">
        <v>50045.440000000002</v>
      </c>
      <c r="H39">
        <v>15</v>
      </c>
      <c r="I39">
        <v>84</v>
      </c>
    </row>
    <row r="40" spans="1:9" x14ac:dyDescent="0.25">
      <c r="A40" t="s">
        <v>65</v>
      </c>
      <c r="B40" t="s">
        <v>22</v>
      </c>
      <c r="C40" t="s">
        <v>11</v>
      </c>
      <c r="D40" t="s">
        <v>17</v>
      </c>
      <c r="E40" t="s">
        <v>29</v>
      </c>
      <c r="F40">
        <v>58</v>
      </c>
      <c r="G40">
        <v>86479.95</v>
      </c>
      <c r="H40">
        <v>1</v>
      </c>
      <c r="I40">
        <v>75</v>
      </c>
    </row>
    <row r="41" spans="1:9" x14ac:dyDescent="0.25">
      <c r="A41" t="s">
        <v>66</v>
      </c>
      <c r="B41" t="s">
        <v>15</v>
      </c>
      <c r="C41" t="s">
        <v>41</v>
      </c>
      <c r="D41" t="s">
        <v>23</v>
      </c>
      <c r="E41" t="s">
        <v>18</v>
      </c>
      <c r="F41">
        <v>14</v>
      </c>
      <c r="G41">
        <v>9067.3799999999992</v>
      </c>
      <c r="H41">
        <v>28</v>
      </c>
      <c r="I41">
        <v>86</v>
      </c>
    </row>
    <row r="42" spans="1:9" x14ac:dyDescent="0.25">
      <c r="A42" t="s">
        <v>67</v>
      </c>
      <c r="B42" t="s">
        <v>15</v>
      </c>
      <c r="C42" t="s">
        <v>28</v>
      </c>
      <c r="D42" t="s">
        <v>23</v>
      </c>
      <c r="E42" t="s">
        <v>18</v>
      </c>
      <c r="F42">
        <v>31</v>
      </c>
      <c r="G42">
        <v>113414.83</v>
      </c>
      <c r="H42">
        <v>8</v>
      </c>
      <c r="I42">
        <v>70</v>
      </c>
    </row>
    <row r="43" spans="1:9" x14ac:dyDescent="0.25">
      <c r="A43" t="s">
        <v>68</v>
      </c>
      <c r="B43" t="s">
        <v>31</v>
      </c>
      <c r="C43" t="s">
        <v>16</v>
      </c>
      <c r="D43" t="s">
        <v>12</v>
      </c>
      <c r="E43" t="s">
        <v>18</v>
      </c>
      <c r="F43">
        <v>85</v>
      </c>
      <c r="G43">
        <v>78946.19</v>
      </c>
      <c r="H43">
        <v>3</v>
      </c>
      <c r="I43">
        <v>48</v>
      </c>
    </row>
    <row r="44" spans="1:9" x14ac:dyDescent="0.25">
      <c r="A44" t="s">
        <v>69</v>
      </c>
      <c r="B44" t="s">
        <v>10</v>
      </c>
      <c r="C44" t="s">
        <v>11</v>
      </c>
      <c r="D44" t="s">
        <v>26</v>
      </c>
      <c r="E44" t="s">
        <v>18</v>
      </c>
      <c r="F44">
        <v>22</v>
      </c>
      <c r="G44">
        <v>100035.91</v>
      </c>
      <c r="H44">
        <v>29</v>
      </c>
      <c r="I44">
        <v>70</v>
      </c>
    </row>
    <row r="45" spans="1:9" x14ac:dyDescent="0.25">
      <c r="A45" t="s">
        <v>70</v>
      </c>
      <c r="B45" t="s">
        <v>15</v>
      </c>
      <c r="C45" t="s">
        <v>28</v>
      </c>
      <c r="D45" t="s">
        <v>23</v>
      </c>
      <c r="E45" t="s">
        <v>18</v>
      </c>
      <c r="F45">
        <v>62</v>
      </c>
      <c r="G45">
        <v>149340.16</v>
      </c>
      <c r="H45">
        <v>18</v>
      </c>
      <c r="I45">
        <v>49</v>
      </c>
    </row>
    <row r="46" spans="1:9" x14ac:dyDescent="0.25">
      <c r="A46" t="s">
        <v>71</v>
      </c>
      <c r="B46" t="s">
        <v>10</v>
      </c>
      <c r="C46" t="s">
        <v>11</v>
      </c>
      <c r="D46" t="s">
        <v>12</v>
      </c>
      <c r="E46" t="s">
        <v>13</v>
      </c>
      <c r="F46">
        <v>79</v>
      </c>
      <c r="G46">
        <v>105328.19</v>
      </c>
      <c r="H46">
        <v>26</v>
      </c>
      <c r="I46">
        <v>94</v>
      </c>
    </row>
    <row r="47" spans="1:9" x14ac:dyDescent="0.25">
      <c r="A47" t="s">
        <v>72</v>
      </c>
      <c r="B47" t="s">
        <v>10</v>
      </c>
      <c r="C47" t="s">
        <v>28</v>
      </c>
      <c r="D47" t="s">
        <v>12</v>
      </c>
      <c r="E47" t="s">
        <v>29</v>
      </c>
      <c r="F47">
        <v>19</v>
      </c>
      <c r="G47">
        <v>21826.12</v>
      </c>
      <c r="H47">
        <v>17</v>
      </c>
      <c r="I47">
        <v>48</v>
      </c>
    </row>
    <row r="48" spans="1:9" x14ac:dyDescent="0.25">
      <c r="A48" t="s">
        <v>73</v>
      </c>
      <c r="B48" t="s">
        <v>36</v>
      </c>
      <c r="C48" t="s">
        <v>11</v>
      </c>
      <c r="D48" t="s">
        <v>32</v>
      </c>
      <c r="E48" t="s">
        <v>18</v>
      </c>
      <c r="F48">
        <v>37</v>
      </c>
      <c r="G48">
        <v>77556.53</v>
      </c>
      <c r="H48">
        <v>24</v>
      </c>
      <c r="I48">
        <v>87</v>
      </c>
    </row>
    <row r="49" spans="1:9" x14ac:dyDescent="0.25">
      <c r="A49" t="s">
        <v>74</v>
      </c>
      <c r="B49" t="s">
        <v>36</v>
      </c>
      <c r="C49" t="s">
        <v>28</v>
      </c>
      <c r="D49" t="s">
        <v>26</v>
      </c>
      <c r="E49" t="s">
        <v>18</v>
      </c>
      <c r="F49">
        <v>30</v>
      </c>
      <c r="G49">
        <v>53806.86</v>
      </c>
      <c r="H49">
        <v>21</v>
      </c>
      <c r="I49">
        <v>82</v>
      </c>
    </row>
    <row r="50" spans="1:9" x14ac:dyDescent="0.25">
      <c r="A50" t="s">
        <v>75</v>
      </c>
      <c r="B50" t="s">
        <v>15</v>
      </c>
      <c r="C50" t="s">
        <v>41</v>
      </c>
      <c r="D50" t="s">
        <v>12</v>
      </c>
      <c r="E50" t="s">
        <v>18</v>
      </c>
      <c r="F50">
        <v>66</v>
      </c>
      <c r="G50">
        <v>84096.91</v>
      </c>
      <c r="H50">
        <v>18</v>
      </c>
      <c r="I50">
        <v>91</v>
      </c>
    </row>
    <row r="51" spans="1:9" x14ac:dyDescent="0.25">
      <c r="A51" t="s">
        <v>76</v>
      </c>
      <c r="B51" t="s">
        <v>10</v>
      </c>
      <c r="C51" t="s">
        <v>28</v>
      </c>
      <c r="D51" t="s">
        <v>12</v>
      </c>
      <c r="E51" t="s">
        <v>18</v>
      </c>
      <c r="F51">
        <v>22</v>
      </c>
      <c r="G51">
        <v>46384.67</v>
      </c>
      <c r="H51">
        <v>3</v>
      </c>
      <c r="I51">
        <v>84</v>
      </c>
    </row>
    <row r="52" spans="1:9" x14ac:dyDescent="0.25">
      <c r="A52" t="s">
        <v>77</v>
      </c>
      <c r="B52" t="s">
        <v>10</v>
      </c>
      <c r="C52" t="s">
        <v>28</v>
      </c>
      <c r="D52" t="s">
        <v>17</v>
      </c>
      <c r="E52" t="s">
        <v>18</v>
      </c>
      <c r="F52">
        <v>60</v>
      </c>
      <c r="G52">
        <v>122442.43</v>
      </c>
      <c r="H52">
        <v>6</v>
      </c>
      <c r="I52">
        <v>94</v>
      </c>
    </row>
    <row r="53" spans="1:9" x14ac:dyDescent="0.25">
      <c r="A53" t="s">
        <v>78</v>
      </c>
      <c r="B53" t="s">
        <v>31</v>
      </c>
      <c r="C53" t="s">
        <v>16</v>
      </c>
      <c r="D53" t="s">
        <v>12</v>
      </c>
      <c r="E53" t="s">
        <v>29</v>
      </c>
      <c r="F53">
        <v>35</v>
      </c>
      <c r="G53">
        <v>73863.679999999993</v>
      </c>
      <c r="H53">
        <v>17</v>
      </c>
      <c r="I53">
        <v>42</v>
      </c>
    </row>
    <row r="54" spans="1:9" x14ac:dyDescent="0.25">
      <c r="A54" t="s">
        <v>79</v>
      </c>
      <c r="B54" t="s">
        <v>22</v>
      </c>
      <c r="C54" t="s">
        <v>11</v>
      </c>
      <c r="D54" t="s">
        <v>23</v>
      </c>
      <c r="E54" t="s">
        <v>13</v>
      </c>
      <c r="F54">
        <v>21</v>
      </c>
      <c r="G54">
        <v>75334.19</v>
      </c>
      <c r="H54">
        <v>23</v>
      </c>
      <c r="I54">
        <v>51</v>
      </c>
    </row>
    <row r="55" spans="1:9" x14ac:dyDescent="0.25">
      <c r="A55" t="s">
        <v>80</v>
      </c>
      <c r="B55" t="s">
        <v>31</v>
      </c>
      <c r="C55" t="s">
        <v>28</v>
      </c>
      <c r="D55" t="s">
        <v>17</v>
      </c>
      <c r="E55" t="s">
        <v>29</v>
      </c>
      <c r="F55">
        <v>51</v>
      </c>
      <c r="G55">
        <v>59829.99</v>
      </c>
      <c r="H55">
        <v>2</v>
      </c>
      <c r="I55">
        <v>40</v>
      </c>
    </row>
    <row r="56" spans="1:9" x14ac:dyDescent="0.25">
      <c r="A56" t="s">
        <v>81</v>
      </c>
      <c r="B56" t="s">
        <v>31</v>
      </c>
      <c r="C56" t="s">
        <v>28</v>
      </c>
      <c r="D56" t="s">
        <v>32</v>
      </c>
      <c r="E56" t="s">
        <v>13</v>
      </c>
      <c r="F56">
        <v>87</v>
      </c>
      <c r="G56">
        <v>5444.8</v>
      </c>
      <c r="H56">
        <v>5</v>
      </c>
      <c r="I56">
        <v>42</v>
      </c>
    </row>
    <row r="57" spans="1:9" x14ac:dyDescent="0.25">
      <c r="A57" t="s">
        <v>82</v>
      </c>
      <c r="B57" t="s">
        <v>25</v>
      </c>
      <c r="C57" t="s">
        <v>11</v>
      </c>
      <c r="D57" t="s">
        <v>17</v>
      </c>
      <c r="E57" t="s">
        <v>18</v>
      </c>
      <c r="F57">
        <v>11</v>
      </c>
      <c r="G57">
        <v>39022.85</v>
      </c>
      <c r="H57">
        <v>8</v>
      </c>
      <c r="I57">
        <v>96</v>
      </c>
    </row>
    <row r="58" spans="1:9" x14ac:dyDescent="0.25">
      <c r="A58" t="s">
        <v>83</v>
      </c>
      <c r="B58" t="s">
        <v>15</v>
      </c>
      <c r="C58" t="s">
        <v>11</v>
      </c>
      <c r="D58" t="s">
        <v>12</v>
      </c>
      <c r="E58" t="s">
        <v>18</v>
      </c>
      <c r="F58">
        <v>7</v>
      </c>
      <c r="G58">
        <v>127110.45</v>
      </c>
      <c r="H58">
        <v>30</v>
      </c>
      <c r="I58">
        <v>100</v>
      </c>
    </row>
    <row r="59" spans="1:9" x14ac:dyDescent="0.25">
      <c r="A59" t="s">
        <v>84</v>
      </c>
      <c r="B59" t="s">
        <v>25</v>
      </c>
      <c r="C59" t="s">
        <v>16</v>
      </c>
      <c r="D59" t="s">
        <v>17</v>
      </c>
      <c r="E59" t="s">
        <v>29</v>
      </c>
      <c r="F59">
        <v>80</v>
      </c>
      <c r="G59">
        <v>120082.46</v>
      </c>
      <c r="H59">
        <v>16</v>
      </c>
      <c r="I59">
        <v>93</v>
      </c>
    </row>
    <row r="60" spans="1:9" x14ac:dyDescent="0.25">
      <c r="A60" t="s">
        <v>85</v>
      </c>
      <c r="B60" t="s">
        <v>15</v>
      </c>
      <c r="C60" t="s">
        <v>28</v>
      </c>
      <c r="D60" t="s">
        <v>17</v>
      </c>
      <c r="E60" t="s">
        <v>18</v>
      </c>
      <c r="F60">
        <v>75</v>
      </c>
      <c r="G60">
        <v>79671.37</v>
      </c>
      <c r="H60">
        <v>30</v>
      </c>
      <c r="I60">
        <v>43</v>
      </c>
    </row>
    <row r="61" spans="1:9" x14ac:dyDescent="0.25">
      <c r="A61" t="s">
        <v>86</v>
      </c>
      <c r="B61" t="s">
        <v>10</v>
      </c>
      <c r="C61" t="s">
        <v>41</v>
      </c>
      <c r="D61" t="s">
        <v>12</v>
      </c>
      <c r="E61" t="s">
        <v>18</v>
      </c>
      <c r="F61">
        <v>7</v>
      </c>
      <c r="G61">
        <v>66277.52</v>
      </c>
      <c r="H61">
        <v>26</v>
      </c>
      <c r="I61">
        <v>69</v>
      </c>
    </row>
    <row r="62" spans="1:9" x14ac:dyDescent="0.25">
      <c r="A62" t="s">
        <v>87</v>
      </c>
      <c r="B62" t="s">
        <v>22</v>
      </c>
      <c r="C62" t="s">
        <v>11</v>
      </c>
      <c r="D62" t="s">
        <v>32</v>
      </c>
      <c r="E62" t="s">
        <v>13</v>
      </c>
      <c r="F62">
        <v>14</v>
      </c>
      <c r="G62">
        <v>12241.3</v>
      </c>
      <c r="H62">
        <v>20</v>
      </c>
      <c r="I62">
        <v>40</v>
      </c>
    </row>
    <row r="63" spans="1:9" x14ac:dyDescent="0.25">
      <c r="A63" t="s">
        <v>88</v>
      </c>
      <c r="B63" t="s">
        <v>36</v>
      </c>
      <c r="C63" t="s">
        <v>28</v>
      </c>
      <c r="D63" t="s">
        <v>17</v>
      </c>
      <c r="E63" t="s">
        <v>18</v>
      </c>
      <c r="F63">
        <v>22</v>
      </c>
      <c r="G63">
        <v>133882.43</v>
      </c>
      <c r="H63">
        <v>29</v>
      </c>
      <c r="I63">
        <v>63</v>
      </c>
    </row>
    <row r="64" spans="1:9" x14ac:dyDescent="0.25">
      <c r="A64" t="s">
        <v>89</v>
      </c>
      <c r="B64" t="s">
        <v>25</v>
      </c>
      <c r="C64" t="s">
        <v>41</v>
      </c>
      <c r="D64" t="s">
        <v>12</v>
      </c>
      <c r="E64" t="s">
        <v>29</v>
      </c>
      <c r="F64">
        <v>73</v>
      </c>
      <c r="G64">
        <v>148488.95000000001</v>
      </c>
      <c r="H64">
        <v>22</v>
      </c>
      <c r="I64">
        <v>77</v>
      </c>
    </row>
    <row r="65" spans="1:9" x14ac:dyDescent="0.25">
      <c r="A65" t="s">
        <v>90</v>
      </c>
      <c r="B65" t="s">
        <v>31</v>
      </c>
      <c r="C65" t="s">
        <v>16</v>
      </c>
      <c r="D65" t="s">
        <v>12</v>
      </c>
      <c r="E65" t="s">
        <v>29</v>
      </c>
      <c r="F65">
        <v>5</v>
      </c>
      <c r="G65">
        <v>74239.37</v>
      </c>
      <c r="H65">
        <v>7</v>
      </c>
      <c r="I65">
        <v>61</v>
      </c>
    </row>
    <row r="66" spans="1:9" x14ac:dyDescent="0.25">
      <c r="A66" t="s">
        <v>91</v>
      </c>
      <c r="B66" t="s">
        <v>22</v>
      </c>
      <c r="C66" t="s">
        <v>16</v>
      </c>
      <c r="D66" t="s">
        <v>32</v>
      </c>
      <c r="E66" t="s">
        <v>18</v>
      </c>
      <c r="F66">
        <v>6</v>
      </c>
      <c r="G66">
        <v>98732.94</v>
      </c>
      <c r="H66">
        <v>25</v>
      </c>
      <c r="I66">
        <v>45</v>
      </c>
    </row>
    <row r="67" spans="1:9" x14ac:dyDescent="0.25">
      <c r="A67" t="s">
        <v>92</v>
      </c>
      <c r="B67" t="s">
        <v>10</v>
      </c>
      <c r="C67" t="s">
        <v>11</v>
      </c>
      <c r="D67" t="s">
        <v>23</v>
      </c>
      <c r="E67" t="s">
        <v>13</v>
      </c>
      <c r="F67">
        <v>4</v>
      </c>
      <c r="G67">
        <v>66339.33</v>
      </c>
      <c r="H67">
        <v>5</v>
      </c>
      <c r="I67">
        <v>77</v>
      </c>
    </row>
    <row r="68" spans="1:9" x14ac:dyDescent="0.25">
      <c r="A68" t="s">
        <v>93</v>
      </c>
      <c r="B68" t="s">
        <v>10</v>
      </c>
      <c r="C68" t="s">
        <v>16</v>
      </c>
      <c r="D68" t="s">
        <v>32</v>
      </c>
      <c r="E68" t="s">
        <v>18</v>
      </c>
      <c r="F68">
        <v>14</v>
      </c>
      <c r="G68">
        <v>113363.27</v>
      </c>
      <c r="H68">
        <v>9</v>
      </c>
      <c r="I68">
        <v>74</v>
      </c>
    </row>
    <row r="69" spans="1:9" x14ac:dyDescent="0.25">
      <c r="A69" t="s">
        <v>94</v>
      </c>
      <c r="B69" t="s">
        <v>10</v>
      </c>
      <c r="C69" t="s">
        <v>16</v>
      </c>
      <c r="D69" t="s">
        <v>32</v>
      </c>
      <c r="E69" t="s">
        <v>13</v>
      </c>
      <c r="F69">
        <v>11</v>
      </c>
      <c r="G69">
        <v>24492.09</v>
      </c>
      <c r="H69">
        <v>8</v>
      </c>
      <c r="I69">
        <v>58</v>
      </c>
    </row>
    <row r="70" spans="1:9" x14ac:dyDescent="0.25">
      <c r="A70" t="s">
        <v>95</v>
      </c>
      <c r="B70" t="s">
        <v>25</v>
      </c>
      <c r="C70" t="s">
        <v>16</v>
      </c>
      <c r="D70" t="s">
        <v>32</v>
      </c>
      <c r="E70" t="s">
        <v>13</v>
      </c>
      <c r="F70">
        <v>19</v>
      </c>
      <c r="G70">
        <v>42080.85</v>
      </c>
      <c r="H70">
        <v>29</v>
      </c>
      <c r="I70">
        <v>65</v>
      </c>
    </row>
    <row r="71" spans="1:9" x14ac:dyDescent="0.25">
      <c r="A71" t="s">
        <v>96</v>
      </c>
      <c r="B71" t="s">
        <v>31</v>
      </c>
      <c r="C71" t="s">
        <v>16</v>
      </c>
      <c r="D71" t="s">
        <v>23</v>
      </c>
      <c r="E71" t="s">
        <v>29</v>
      </c>
      <c r="F71">
        <v>56</v>
      </c>
      <c r="G71">
        <v>147658.16</v>
      </c>
      <c r="H71">
        <v>11</v>
      </c>
      <c r="I71">
        <v>96</v>
      </c>
    </row>
    <row r="72" spans="1:9" x14ac:dyDescent="0.25">
      <c r="A72" t="s">
        <v>97</v>
      </c>
      <c r="B72" t="s">
        <v>22</v>
      </c>
      <c r="C72" t="s">
        <v>16</v>
      </c>
      <c r="D72" t="s">
        <v>12</v>
      </c>
      <c r="E72" t="s">
        <v>13</v>
      </c>
      <c r="F72">
        <v>40</v>
      </c>
      <c r="G72">
        <v>79386.600000000006</v>
      </c>
      <c r="H72">
        <v>21</v>
      </c>
      <c r="I72">
        <v>67</v>
      </c>
    </row>
    <row r="73" spans="1:9" x14ac:dyDescent="0.25">
      <c r="A73" t="s">
        <v>98</v>
      </c>
      <c r="B73" t="s">
        <v>36</v>
      </c>
      <c r="C73" t="s">
        <v>41</v>
      </c>
      <c r="D73" t="s">
        <v>17</v>
      </c>
      <c r="E73" t="s">
        <v>18</v>
      </c>
      <c r="F73">
        <v>6</v>
      </c>
      <c r="G73">
        <v>22175.37</v>
      </c>
      <c r="H73">
        <v>17</v>
      </c>
      <c r="I73">
        <v>82</v>
      </c>
    </row>
    <row r="74" spans="1:9" x14ac:dyDescent="0.25">
      <c r="A74" t="s">
        <v>99</v>
      </c>
      <c r="B74" t="s">
        <v>31</v>
      </c>
      <c r="C74" t="s">
        <v>28</v>
      </c>
      <c r="D74" t="s">
        <v>12</v>
      </c>
      <c r="E74" t="s">
        <v>29</v>
      </c>
      <c r="F74">
        <v>62</v>
      </c>
      <c r="G74">
        <v>16296.15</v>
      </c>
      <c r="H74">
        <v>28</v>
      </c>
      <c r="I74">
        <v>63</v>
      </c>
    </row>
    <row r="75" spans="1:9" x14ac:dyDescent="0.25">
      <c r="A75" t="s">
        <v>100</v>
      </c>
      <c r="B75" t="s">
        <v>31</v>
      </c>
      <c r="C75" t="s">
        <v>41</v>
      </c>
      <c r="D75" t="s">
        <v>12</v>
      </c>
      <c r="E75" t="s">
        <v>29</v>
      </c>
      <c r="F75">
        <v>56</v>
      </c>
      <c r="G75">
        <v>120488.57</v>
      </c>
      <c r="H75">
        <v>30</v>
      </c>
      <c r="I75">
        <v>48</v>
      </c>
    </row>
    <row r="76" spans="1:9" x14ac:dyDescent="0.25">
      <c r="A76" t="s">
        <v>101</v>
      </c>
      <c r="B76" t="s">
        <v>22</v>
      </c>
      <c r="C76" t="s">
        <v>28</v>
      </c>
      <c r="D76" t="s">
        <v>12</v>
      </c>
      <c r="E76" t="s">
        <v>13</v>
      </c>
      <c r="F76">
        <v>8</v>
      </c>
      <c r="G76">
        <v>111873.66</v>
      </c>
      <c r="H76">
        <v>16</v>
      </c>
      <c r="I76">
        <v>74</v>
      </c>
    </row>
    <row r="77" spans="1:9" x14ac:dyDescent="0.25">
      <c r="A77" t="s">
        <v>102</v>
      </c>
      <c r="B77" t="s">
        <v>22</v>
      </c>
      <c r="C77" t="s">
        <v>16</v>
      </c>
      <c r="D77" t="s">
        <v>23</v>
      </c>
      <c r="E77" t="s">
        <v>18</v>
      </c>
      <c r="F77">
        <v>62</v>
      </c>
      <c r="G77">
        <v>27610.65</v>
      </c>
      <c r="H77">
        <v>26</v>
      </c>
      <c r="I77">
        <v>72</v>
      </c>
    </row>
    <row r="78" spans="1:9" x14ac:dyDescent="0.25">
      <c r="A78" t="s">
        <v>103</v>
      </c>
      <c r="B78" t="s">
        <v>22</v>
      </c>
      <c r="C78" t="s">
        <v>41</v>
      </c>
      <c r="D78" t="s">
        <v>32</v>
      </c>
      <c r="E78" t="s">
        <v>29</v>
      </c>
      <c r="F78">
        <v>17</v>
      </c>
      <c r="G78">
        <v>142458.98000000001</v>
      </c>
      <c r="H78">
        <v>6</v>
      </c>
      <c r="I78">
        <v>69</v>
      </c>
    </row>
    <row r="79" spans="1:9" x14ac:dyDescent="0.25">
      <c r="A79" t="s">
        <v>104</v>
      </c>
      <c r="B79" t="s">
        <v>22</v>
      </c>
      <c r="C79" t="s">
        <v>11</v>
      </c>
      <c r="D79" t="s">
        <v>23</v>
      </c>
      <c r="E79" t="s">
        <v>29</v>
      </c>
      <c r="F79">
        <v>7</v>
      </c>
      <c r="G79">
        <v>23799.83</v>
      </c>
      <c r="H79">
        <v>26</v>
      </c>
      <c r="I79">
        <v>52</v>
      </c>
    </row>
    <row r="80" spans="1:9" x14ac:dyDescent="0.25">
      <c r="A80" t="s">
        <v>105</v>
      </c>
      <c r="B80" t="s">
        <v>36</v>
      </c>
      <c r="C80" t="s">
        <v>41</v>
      </c>
      <c r="D80" t="s">
        <v>12</v>
      </c>
      <c r="E80" t="s">
        <v>29</v>
      </c>
      <c r="F80">
        <v>49</v>
      </c>
      <c r="G80">
        <v>117019.47</v>
      </c>
      <c r="H80">
        <v>28</v>
      </c>
      <c r="I80">
        <v>63</v>
      </c>
    </row>
    <row r="81" spans="1:9" x14ac:dyDescent="0.25">
      <c r="A81" t="s">
        <v>106</v>
      </c>
      <c r="B81" t="s">
        <v>36</v>
      </c>
      <c r="C81" t="s">
        <v>11</v>
      </c>
      <c r="D81" t="s">
        <v>32</v>
      </c>
      <c r="E81" t="s">
        <v>29</v>
      </c>
      <c r="F81">
        <v>12</v>
      </c>
      <c r="G81">
        <v>69472.05</v>
      </c>
      <c r="H81">
        <v>11</v>
      </c>
      <c r="I81">
        <v>68</v>
      </c>
    </row>
    <row r="82" spans="1:9" x14ac:dyDescent="0.25">
      <c r="A82" t="s">
        <v>107</v>
      </c>
      <c r="B82" t="s">
        <v>25</v>
      </c>
      <c r="C82" t="s">
        <v>11</v>
      </c>
      <c r="D82" t="s">
        <v>32</v>
      </c>
      <c r="E82" t="s">
        <v>13</v>
      </c>
      <c r="F82">
        <v>5</v>
      </c>
      <c r="G82">
        <v>64103.040000000001</v>
      </c>
      <c r="H82">
        <v>14</v>
      </c>
      <c r="I82">
        <v>42</v>
      </c>
    </row>
    <row r="83" spans="1:9" x14ac:dyDescent="0.25">
      <c r="A83" t="s">
        <v>108</v>
      </c>
      <c r="B83" t="s">
        <v>22</v>
      </c>
      <c r="C83" t="s">
        <v>11</v>
      </c>
      <c r="D83" t="s">
        <v>12</v>
      </c>
      <c r="E83" t="s">
        <v>29</v>
      </c>
      <c r="F83">
        <v>13</v>
      </c>
      <c r="G83">
        <v>137441.75</v>
      </c>
      <c r="H83">
        <v>23</v>
      </c>
      <c r="I83">
        <v>74</v>
      </c>
    </row>
    <row r="84" spans="1:9" x14ac:dyDescent="0.25">
      <c r="A84" t="s">
        <v>109</v>
      </c>
      <c r="B84" t="s">
        <v>25</v>
      </c>
      <c r="C84" t="s">
        <v>11</v>
      </c>
      <c r="D84" t="s">
        <v>23</v>
      </c>
      <c r="E84" t="s">
        <v>13</v>
      </c>
      <c r="F84">
        <v>71</v>
      </c>
      <c r="G84">
        <v>11066.61</v>
      </c>
      <c r="H84">
        <v>17</v>
      </c>
      <c r="I84">
        <v>86</v>
      </c>
    </row>
    <row r="85" spans="1:9" x14ac:dyDescent="0.25">
      <c r="A85" t="s">
        <v>110</v>
      </c>
      <c r="B85" t="s">
        <v>31</v>
      </c>
      <c r="C85" t="s">
        <v>16</v>
      </c>
      <c r="D85" t="s">
        <v>26</v>
      </c>
      <c r="E85" t="s">
        <v>13</v>
      </c>
      <c r="F85">
        <v>87</v>
      </c>
      <c r="G85">
        <v>36726.76</v>
      </c>
      <c r="H85">
        <v>4</v>
      </c>
      <c r="I85">
        <v>53</v>
      </c>
    </row>
    <row r="86" spans="1:9" x14ac:dyDescent="0.25">
      <c r="A86" t="s">
        <v>111</v>
      </c>
      <c r="B86" t="s">
        <v>15</v>
      </c>
      <c r="C86" t="s">
        <v>16</v>
      </c>
      <c r="D86" t="s">
        <v>17</v>
      </c>
      <c r="E86" t="s">
        <v>29</v>
      </c>
      <c r="F86">
        <v>40</v>
      </c>
      <c r="G86">
        <v>19717.900000000001</v>
      </c>
      <c r="H86">
        <v>20</v>
      </c>
      <c r="I86">
        <v>63</v>
      </c>
    </row>
    <row r="87" spans="1:9" x14ac:dyDescent="0.25">
      <c r="A87" t="s">
        <v>112</v>
      </c>
      <c r="B87" t="s">
        <v>36</v>
      </c>
      <c r="C87" t="s">
        <v>16</v>
      </c>
      <c r="D87" t="s">
        <v>26</v>
      </c>
      <c r="E87" t="s">
        <v>29</v>
      </c>
      <c r="F87">
        <v>63</v>
      </c>
      <c r="G87">
        <v>82657.039999999994</v>
      </c>
      <c r="H87">
        <v>4</v>
      </c>
      <c r="I87">
        <v>55</v>
      </c>
    </row>
    <row r="88" spans="1:9" x14ac:dyDescent="0.25">
      <c r="A88" t="s">
        <v>113</v>
      </c>
      <c r="B88" t="s">
        <v>15</v>
      </c>
      <c r="C88" t="s">
        <v>16</v>
      </c>
      <c r="D88" t="s">
        <v>17</v>
      </c>
      <c r="E88" t="s">
        <v>29</v>
      </c>
      <c r="F88">
        <v>1</v>
      </c>
      <c r="G88">
        <v>16874.009999999998</v>
      </c>
      <c r="H88">
        <v>14</v>
      </c>
      <c r="I88">
        <v>76</v>
      </c>
    </row>
    <row r="89" spans="1:9" x14ac:dyDescent="0.25">
      <c r="A89" t="s">
        <v>114</v>
      </c>
      <c r="B89" t="s">
        <v>15</v>
      </c>
      <c r="C89" t="s">
        <v>41</v>
      </c>
      <c r="D89" t="s">
        <v>12</v>
      </c>
      <c r="E89" t="s">
        <v>18</v>
      </c>
      <c r="F89">
        <v>37</v>
      </c>
      <c r="G89">
        <v>8578.83</v>
      </c>
      <c r="H89">
        <v>2</v>
      </c>
      <c r="I89">
        <v>90</v>
      </c>
    </row>
    <row r="90" spans="1:9" x14ac:dyDescent="0.25">
      <c r="A90" t="s">
        <v>115</v>
      </c>
      <c r="B90" t="s">
        <v>36</v>
      </c>
      <c r="C90" t="s">
        <v>11</v>
      </c>
      <c r="D90" t="s">
        <v>17</v>
      </c>
      <c r="E90" t="s">
        <v>18</v>
      </c>
      <c r="F90">
        <v>7</v>
      </c>
      <c r="G90">
        <v>22311.39</v>
      </c>
      <c r="H90">
        <v>14</v>
      </c>
      <c r="I90">
        <v>86</v>
      </c>
    </row>
    <row r="91" spans="1:9" x14ac:dyDescent="0.25">
      <c r="A91" t="s">
        <v>116</v>
      </c>
      <c r="B91" t="s">
        <v>25</v>
      </c>
      <c r="C91" t="s">
        <v>41</v>
      </c>
      <c r="D91" t="s">
        <v>12</v>
      </c>
      <c r="E91" t="s">
        <v>29</v>
      </c>
      <c r="F91">
        <v>46</v>
      </c>
      <c r="G91">
        <v>128560.01</v>
      </c>
      <c r="H91">
        <v>7</v>
      </c>
      <c r="I91">
        <v>52</v>
      </c>
    </row>
    <row r="92" spans="1:9" x14ac:dyDescent="0.25">
      <c r="A92" t="s">
        <v>117</v>
      </c>
      <c r="B92" t="s">
        <v>31</v>
      </c>
      <c r="C92" t="s">
        <v>11</v>
      </c>
      <c r="D92" t="s">
        <v>23</v>
      </c>
      <c r="E92" t="s">
        <v>29</v>
      </c>
      <c r="F92">
        <v>30</v>
      </c>
      <c r="G92">
        <v>147742.63</v>
      </c>
      <c r="H92">
        <v>28</v>
      </c>
      <c r="I92">
        <v>62</v>
      </c>
    </row>
    <row r="93" spans="1:9" x14ac:dyDescent="0.25">
      <c r="A93" t="s">
        <v>118</v>
      </c>
      <c r="B93" t="s">
        <v>15</v>
      </c>
      <c r="C93" t="s">
        <v>11</v>
      </c>
      <c r="D93" t="s">
        <v>17</v>
      </c>
      <c r="E93" t="s">
        <v>29</v>
      </c>
      <c r="F93">
        <v>66</v>
      </c>
      <c r="G93">
        <v>54562.1</v>
      </c>
      <c r="H93">
        <v>21</v>
      </c>
      <c r="I93">
        <v>86</v>
      </c>
    </row>
    <row r="94" spans="1:9" x14ac:dyDescent="0.25">
      <c r="A94" t="s">
        <v>119</v>
      </c>
      <c r="B94" t="s">
        <v>36</v>
      </c>
      <c r="C94" t="s">
        <v>28</v>
      </c>
      <c r="D94" t="s">
        <v>23</v>
      </c>
      <c r="E94" t="s">
        <v>29</v>
      </c>
      <c r="F94">
        <v>1</v>
      </c>
      <c r="G94">
        <v>146289.26999999999</v>
      </c>
      <c r="H94">
        <v>17</v>
      </c>
      <c r="I94">
        <v>47</v>
      </c>
    </row>
    <row r="95" spans="1:9" x14ac:dyDescent="0.25">
      <c r="A95" t="s">
        <v>120</v>
      </c>
      <c r="B95" t="s">
        <v>31</v>
      </c>
      <c r="C95" t="s">
        <v>41</v>
      </c>
      <c r="D95" t="s">
        <v>32</v>
      </c>
      <c r="E95" t="s">
        <v>29</v>
      </c>
      <c r="F95">
        <v>89</v>
      </c>
      <c r="G95">
        <v>128840.81</v>
      </c>
      <c r="H95">
        <v>22</v>
      </c>
      <c r="I95">
        <v>81</v>
      </c>
    </row>
    <row r="96" spans="1:9" x14ac:dyDescent="0.25">
      <c r="A96" t="s">
        <v>121</v>
      </c>
      <c r="B96" t="s">
        <v>22</v>
      </c>
      <c r="C96" t="s">
        <v>16</v>
      </c>
      <c r="D96" t="s">
        <v>17</v>
      </c>
      <c r="E96" t="s">
        <v>29</v>
      </c>
      <c r="F96">
        <v>48</v>
      </c>
      <c r="G96">
        <v>19629.22</v>
      </c>
      <c r="H96">
        <v>2</v>
      </c>
      <c r="I96">
        <v>95</v>
      </c>
    </row>
    <row r="97" spans="1:9" x14ac:dyDescent="0.25">
      <c r="A97" t="s">
        <v>122</v>
      </c>
      <c r="B97" t="s">
        <v>31</v>
      </c>
      <c r="C97" t="s">
        <v>28</v>
      </c>
      <c r="D97" t="s">
        <v>32</v>
      </c>
      <c r="E97" t="s">
        <v>13</v>
      </c>
      <c r="F97">
        <v>59</v>
      </c>
      <c r="G97">
        <v>73629.03</v>
      </c>
      <c r="H97">
        <v>10</v>
      </c>
      <c r="I97">
        <v>85</v>
      </c>
    </row>
    <row r="98" spans="1:9" x14ac:dyDescent="0.25">
      <c r="A98" t="s">
        <v>123</v>
      </c>
      <c r="B98" t="s">
        <v>25</v>
      </c>
      <c r="C98" t="s">
        <v>16</v>
      </c>
      <c r="D98" t="s">
        <v>32</v>
      </c>
      <c r="E98" t="s">
        <v>29</v>
      </c>
      <c r="F98">
        <v>54</v>
      </c>
      <c r="G98">
        <v>100747.7</v>
      </c>
      <c r="H98">
        <v>12</v>
      </c>
      <c r="I98">
        <v>74</v>
      </c>
    </row>
    <row r="99" spans="1:9" x14ac:dyDescent="0.25">
      <c r="A99" t="s">
        <v>124</v>
      </c>
      <c r="B99" t="s">
        <v>15</v>
      </c>
      <c r="C99" t="s">
        <v>11</v>
      </c>
      <c r="D99" t="s">
        <v>12</v>
      </c>
      <c r="E99" t="s">
        <v>29</v>
      </c>
      <c r="F99">
        <v>35</v>
      </c>
      <c r="G99">
        <v>85523.17</v>
      </c>
      <c r="H99">
        <v>30</v>
      </c>
      <c r="I99">
        <v>90</v>
      </c>
    </row>
    <row r="100" spans="1:9" x14ac:dyDescent="0.25">
      <c r="A100" t="s">
        <v>125</v>
      </c>
      <c r="B100" t="s">
        <v>31</v>
      </c>
      <c r="C100" t="s">
        <v>16</v>
      </c>
      <c r="D100" t="s">
        <v>23</v>
      </c>
      <c r="E100" t="s">
        <v>29</v>
      </c>
      <c r="F100">
        <v>33</v>
      </c>
      <c r="G100">
        <v>79151.14</v>
      </c>
      <c r="H100">
        <v>2</v>
      </c>
      <c r="I100">
        <v>56</v>
      </c>
    </row>
    <row r="101" spans="1:9" x14ac:dyDescent="0.25">
      <c r="A101" t="s">
        <v>126</v>
      </c>
      <c r="B101" t="s">
        <v>36</v>
      </c>
      <c r="C101" t="s">
        <v>11</v>
      </c>
      <c r="D101" t="s">
        <v>23</v>
      </c>
      <c r="E101" t="s">
        <v>13</v>
      </c>
      <c r="F101">
        <v>30</v>
      </c>
      <c r="G101">
        <v>115395.67</v>
      </c>
      <c r="H101">
        <v>11</v>
      </c>
      <c r="I101">
        <v>74</v>
      </c>
    </row>
    <row r="102" spans="1:9" x14ac:dyDescent="0.25">
      <c r="A102" t="s">
        <v>127</v>
      </c>
      <c r="B102" t="s">
        <v>22</v>
      </c>
      <c r="C102" t="s">
        <v>28</v>
      </c>
      <c r="D102" t="s">
        <v>12</v>
      </c>
      <c r="E102" t="s">
        <v>13</v>
      </c>
      <c r="F102">
        <v>60</v>
      </c>
      <c r="G102">
        <v>49131.44</v>
      </c>
      <c r="H102">
        <v>2</v>
      </c>
      <c r="I102">
        <v>44</v>
      </c>
    </row>
    <row r="103" spans="1:9" x14ac:dyDescent="0.25">
      <c r="A103" t="s">
        <v>128</v>
      </c>
      <c r="B103" t="s">
        <v>31</v>
      </c>
      <c r="C103" t="s">
        <v>11</v>
      </c>
      <c r="D103" t="s">
        <v>23</v>
      </c>
      <c r="E103" t="s">
        <v>29</v>
      </c>
      <c r="F103">
        <v>70</v>
      </c>
      <c r="G103">
        <v>58132.5</v>
      </c>
      <c r="H103">
        <v>25</v>
      </c>
      <c r="I103">
        <v>43</v>
      </c>
    </row>
    <row r="104" spans="1:9" x14ac:dyDescent="0.25">
      <c r="A104" t="s">
        <v>129</v>
      </c>
      <c r="B104" t="s">
        <v>36</v>
      </c>
      <c r="C104" t="s">
        <v>41</v>
      </c>
      <c r="D104" t="s">
        <v>12</v>
      </c>
      <c r="E104" t="s">
        <v>13</v>
      </c>
      <c r="F104">
        <v>6</v>
      </c>
      <c r="G104">
        <v>77311.77</v>
      </c>
      <c r="H104">
        <v>19</v>
      </c>
      <c r="I104">
        <v>90</v>
      </c>
    </row>
    <row r="105" spans="1:9" x14ac:dyDescent="0.25">
      <c r="A105" t="s">
        <v>130</v>
      </c>
      <c r="B105" t="s">
        <v>25</v>
      </c>
      <c r="C105" t="s">
        <v>28</v>
      </c>
      <c r="D105" t="s">
        <v>32</v>
      </c>
      <c r="E105" t="s">
        <v>29</v>
      </c>
      <c r="F105">
        <v>70</v>
      </c>
      <c r="G105">
        <v>14270.62</v>
      </c>
      <c r="H105">
        <v>24</v>
      </c>
      <c r="I105">
        <v>43</v>
      </c>
    </row>
    <row r="106" spans="1:9" x14ac:dyDescent="0.25">
      <c r="A106" t="s">
        <v>131</v>
      </c>
      <c r="B106" t="s">
        <v>15</v>
      </c>
      <c r="C106" t="s">
        <v>28</v>
      </c>
      <c r="D106" t="s">
        <v>26</v>
      </c>
      <c r="E106" t="s">
        <v>13</v>
      </c>
      <c r="F106">
        <v>52</v>
      </c>
      <c r="G106">
        <v>97685.72</v>
      </c>
      <c r="H106">
        <v>28</v>
      </c>
      <c r="I106">
        <v>59</v>
      </c>
    </row>
    <row r="107" spans="1:9" x14ac:dyDescent="0.25">
      <c r="A107" t="s">
        <v>132</v>
      </c>
      <c r="B107" t="s">
        <v>10</v>
      </c>
      <c r="C107" t="s">
        <v>16</v>
      </c>
      <c r="D107" t="s">
        <v>23</v>
      </c>
      <c r="E107" t="s">
        <v>18</v>
      </c>
      <c r="F107">
        <v>64</v>
      </c>
      <c r="G107">
        <v>142687.47</v>
      </c>
      <c r="H107">
        <v>27</v>
      </c>
      <c r="I107">
        <v>80</v>
      </c>
    </row>
    <row r="108" spans="1:9" x14ac:dyDescent="0.25">
      <c r="A108" t="s">
        <v>133</v>
      </c>
      <c r="B108" t="s">
        <v>31</v>
      </c>
      <c r="C108" t="s">
        <v>28</v>
      </c>
      <c r="D108" t="s">
        <v>17</v>
      </c>
      <c r="E108" t="s">
        <v>29</v>
      </c>
      <c r="F108">
        <v>35</v>
      </c>
      <c r="G108">
        <v>36754.51</v>
      </c>
      <c r="H108">
        <v>27</v>
      </c>
      <c r="I108">
        <v>49</v>
      </c>
    </row>
    <row r="109" spans="1:9" x14ac:dyDescent="0.25">
      <c r="A109" t="s">
        <v>134</v>
      </c>
      <c r="B109" t="s">
        <v>15</v>
      </c>
      <c r="C109" t="s">
        <v>16</v>
      </c>
      <c r="D109" t="s">
        <v>17</v>
      </c>
      <c r="E109" t="s">
        <v>29</v>
      </c>
      <c r="F109">
        <v>62</v>
      </c>
      <c r="G109">
        <v>34938.57</v>
      </c>
      <c r="H109">
        <v>8</v>
      </c>
      <c r="I109">
        <v>70</v>
      </c>
    </row>
    <row r="110" spans="1:9" x14ac:dyDescent="0.25">
      <c r="A110" t="s">
        <v>135</v>
      </c>
      <c r="B110" t="s">
        <v>22</v>
      </c>
      <c r="C110" t="s">
        <v>28</v>
      </c>
      <c r="D110" t="s">
        <v>12</v>
      </c>
      <c r="E110" t="s">
        <v>13</v>
      </c>
      <c r="F110">
        <v>22</v>
      </c>
      <c r="G110">
        <v>97228.49</v>
      </c>
      <c r="H110">
        <v>7</v>
      </c>
      <c r="I110">
        <v>60</v>
      </c>
    </row>
    <row r="111" spans="1:9" x14ac:dyDescent="0.25">
      <c r="A111" t="s">
        <v>136</v>
      </c>
      <c r="B111" t="s">
        <v>25</v>
      </c>
      <c r="C111" t="s">
        <v>28</v>
      </c>
      <c r="D111" t="s">
        <v>17</v>
      </c>
      <c r="E111" t="s">
        <v>13</v>
      </c>
      <c r="F111">
        <v>42</v>
      </c>
      <c r="G111">
        <v>91441.1</v>
      </c>
      <c r="H111">
        <v>22</v>
      </c>
      <c r="I111">
        <v>84</v>
      </c>
    </row>
    <row r="112" spans="1:9" x14ac:dyDescent="0.25">
      <c r="A112" t="s">
        <v>137</v>
      </c>
      <c r="B112" t="s">
        <v>10</v>
      </c>
      <c r="C112" t="s">
        <v>41</v>
      </c>
      <c r="D112" t="s">
        <v>32</v>
      </c>
      <c r="E112" t="s">
        <v>13</v>
      </c>
      <c r="F112">
        <v>24</v>
      </c>
      <c r="G112">
        <v>139624.06</v>
      </c>
      <c r="H112">
        <v>5</v>
      </c>
      <c r="I112">
        <v>55</v>
      </c>
    </row>
    <row r="113" spans="1:9" x14ac:dyDescent="0.25">
      <c r="A113" t="s">
        <v>138</v>
      </c>
      <c r="B113" t="s">
        <v>25</v>
      </c>
      <c r="C113" t="s">
        <v>16</v>
      </c>
      <c r="D113" t="s">
        <v>12</v>
      </c>
      <c r="E113" t="s">
        <v>29</v>
      </c>
      <c r="F113">
        <v>17</v>
      </c>
      <c r="G113">
        <v>86650.5</v>
      </c>
      <c r="H113">
        <v>3</v>
      </c>
      <c r="I113">
        <v>53</v>
      </c>
    </row>
    <row r="114" spans="1:9" x14ac:dyDescent="0.25">
      <c r="A114" t="s">
        <v>139</v>
      </c>
      <c r="B114" t="s">
        <v>31</v>
      </c>
      <c r="C114" t="s">
        <v>11</v>
      </c>
      <c r="D114" t="s">
        <v>17</v>
      </c>
      <c r="E114" t="s">
        <v>18</v>
      </c>
      <c r="F114">
        <v>75</v>
      </c>
      <c r="G114">
        <v>85517.09</v>
      </c>
      <c r="H114">
        <v>6</v>
      </c>
      <c r="I114">
        <v>79</v>
      </c>
    </row>
    <row r="115" spans="1:9" x14ac:dyDescent="0.25">
      <c r="A115" t="s">
        <v>140</v>
      </c>
      <c r="B115" t="s">
        <v>10</v>
      </c>
      <c r="C115" t="s">
        <v>11</v>
      </c>
      <c r="D115" t="s">
        <v>17</v>
      </c>
      <c r="E115" t="s">
        <v>13</v>
      </c>
      <c r="F115">
        <v>47</v>
      </c>
      <c r="G115">
        <v>134120.62</v>
      </c>
      <c r="H115">
        <v>11</v>
      </c>
      <c r="I115">
        <v>92</v>
      </c>
    </row>
    <row r="116" spans="1:9" x14ac:dyDescent="0.25">
      <c r="A116" t="s">
        <v>141</v>
      </c>
      <c r="B116" t="s">
        <v>22</v>
      </c>
      <c r="C116" t="s">
        <v>41</v>
      </c>
      <c r="D116" t="s">
        <v>23</v>
      </c>
      <c r="E116" t="s">
        <v>29</v>
      </c>
      <c r="F116">
        <v>81</v>
      </c>
      <c r="G116">
        <v>22593.06</v>
      </c>
      <c r="H116">
        <v>6</v>
      </c>
      <c r="I116">
        <v>67</v>
      </c>
    </row>
    <row r="117" spans="1:9" x14ac:dyDescent="0.25">
      <c r="A117" t="s">
        <v>142</v>
      </c>
      <c r="B117" t="s">
        <v>10</v>
      </c>
      <c r="C117" t="s">
        <v>28</v>
      </c>
      <c r="D117" t="s">
        <v>23</v>
      </c>
      <c r="E117" t="s">
        <v>18</v>
      </c>
      <c r="F117">
        <v>20</v>
      </c>
      <c r="G117">
        <v>88741.64</v>
      </c>
      <c r="H117">
        <v>26</v>
      </c>
      <c r="I117">
        <v>99</v>
      </c>
    </row>
    <row r="118" spans="1:9" x14ac:dyDescent="0.25">
      <c r="A118" t="s">
        <v>143</v>
      </c>
      <c r="B118" t="s">
        <v>10</v>
      </c>
      <c r="C118" t="s">
        <v>16</v>
      </c>
      <c r="D118" t="s">
        <v>17</v>
      </c>
      <c r="E118" t="s">
        <v>18</v>
      </c>
      <c r="F118">
        <v>14</v>
      </c>
      <c r="G118">
        <v>10917.19</v>
      </c>
      <c r="H118">
        <v>22</v>
      </c>
      <c r="I118">
        <v>43</v>
      </c>
    </row>
    <row r="119" spans="1:9" x14ac:dyDescent="0.25">
      <c r="A119" t="s">
        <v>144</v>
      </c>
      <c r="B119" t="s">
        <v>10</v>
      </c>
      <c r="C119" t="s">
        <v>41</v>
      </c>
      <c r="D119" t="s">
        <v>32</v>
      </c>
      <c r="E119" t="s">
        <v>13</v>
      </c>
      <c r="F119">
        <v>30</v>
      </c>
      <c r="G119">
        <v>97613.71</v>
      </c>
      <c r="H119">
        <v>24</v>
      </c>
      <c r="I119">
        <v>72</v>
      </c>
    </row>
    <row r="120" spans="1:9" x14ac:dyDescent="0.25">
      <c r="A120" t="s">
        <v>145</v>
      </c>
      <c r="B120" t="s">
        <v>36</v>
      </c>
      <c r="C120" t="s">
        <v>41</v>
      </c>
      <c r="D120" t="s">
        <v>23</v>
      </c>
      <c r="E120" t="s">
        <v>13</v>
      </c>
      <c r="F120">
        <v>81</v>
      </c>
      <c r="G120">
        <v>135711.26999999999</v>
      </c>
      <c r="H120">
        <v>14</v>
      </c>
      <c r="I120">
        <v>99</v>
      </c>
    </row>
    <row r="121" spans="1:9" x14ac:dyDescent="0.25">
      <c r="A121" t="s">
        <v>146</v>
      </c>
      <c r="B121" t="s">
        <v>15</v>
      </c>
      <c r="C121" t="s">
        <v>16</v>
      </c>
      <c r="D121" t="s">
        <v>23</v>
      </c>
      <c r="E121" t="s">
        <v>13</v>
      </c>
      <c r="F121">
        <v>48</v>
      </c>
      <c r="G121">
        <v>117464.18</v>
      </c>
      <c r="H121">
        <v>2</v>
      </c>
      <c r="I121">
        <v>61</v>
      </c>
    </row>
    <row r="122" spans="1:9" x14ac:dyDescent="0.25">
      <c r="A122" t="s">
        <v>147</v>
      </c>
      <c r="B122" t="s">
        <v>22</v>
      </c>
      <c r="C122" t="s">
        <v>16</v>
      </c>
      <c r="D122" t="s">
        <v>23</v>
      </c>
      <c r="E122" t="s">
        <v>29</v>
      </c>
      <c r="F122">
        <v>45</v>
      </c>
      <c r="G122">
        <v>89474.55</v>
      </c>
      <c r="H122">
        <v>21</v>
      </c>
      <c r="I122">
        <v>64</v>
      </c>
    </row>
    <row r="123" spans="1:9" x14ac:dyDescent="0.25">
      <c r="A123" t="s">
        <v>148</v>
      </c>
      <c r="B123" t="s">
        <v>10</v>
      </c>
      <c r="C123" t="s">
        <v>41</v>
      </c>
      <c r="D123" t="s">
        <v>32</v>
      </c>
      <c r="E123" t="s">
        <v>29</v>
      </c>
      <c r="F123">
        <v>1</v>
      </c>
      <c r="G123">
        <v>105954.09</v>
      </c>
      <c r="H123">
        <v>12</v>
      </c>
      <c r="I123">
        <v>95</v>
      </c>
    </row>
    <row r="124" spans="1:9" x14ac:dyDescent="0.25">
      <c r="A124" t="s">
        <v>149</v>
      </c>
      <c r="B124" t="s">
        <v>15</v>
      </c>
      <c r="C124" t="s">
        <v>28</v>
      </c>
      <c r="D124" t="s">
        <v>26</v>
      </c>
      <c r="E124" t="s">
        <v>13</v>
      </c>
      <c r="F124">
        <v>30</v>
      </c>
      <c r="G124">
        <v>91267.91</v>
      </c>
      <c r="H124">
        <v>17</v>
      </c>
      <c r="I124">
        <v>76</v>
      </c>
    </row>
    <row r="125" spans="1:9" x14ac:dyDescent="0.25">
      <c r="A125" t="s">
        <v>150</v>
      </c>
      <c r="B125" t="s">
        <v>36</v>
      </c>
      <c r="C125" t="s">
        <v>11</v>
      </c>
      <c r="D125" t="s">
        <v>26</v>
      </c>
      <c r="E125" t="s">
        <v>13</v>
      </c>
      <c r="F125">
        <v>3</v>
      </c>
      <c r="G125">
        <v>46506.94</v>
      </c>
      <c r="H125">
        <v>9</v>
      </c>
      <c r="I125">
        <v>72</v>
      </c>
    </row>
    <row r="126" spans="1:9" x14ac:dyDescent="0.25">
      <c r="A126" t="s">
        <v>151</v>
      </c>
      <c r="B126" t="s">
        <v>31</v>
      </c>
      <c r="C126" t="s">
        <v>41</v>
      </c>
      <c r="D126" t="s">
        <v>17</v>
      </c>
      <c r="E126" t="s">
        <v>13</v>
      </c>
      <c r="F126">
        <v>78</v>
      </c>
      <c r="G126">
        <v>40568.300000000003</v>
      </c>
      <c r="H126">
        <v>18</v>
      </c>
      <c r="I126">
        <v>91</v>
      </c>
    </row>
    <row r="127" spans="1:9" x14ac:dyDescent="0.25">
      <c r="A127" t="s">
        <v>152</v>
      </c>
      <c r="B127" t="s">
        <v>22</v>
      </c>
      <c r="C127" t="s">
        <v>11</v>
      </c>
      <c r="D127" t="s">
        <v>32</v>
      </c>
      <c r="E127" t="s">
        <v>18</v>
      </c>
      <c r="F127">
        <v>35</v>
      </c>
      <c r="G127">
        <v>132265.98000000001</v>
      </c>
      <c r="H127">
        <v>7</v>
      </c>
      <c r="I127">
        <v>45</v>
      </c>
    </row>
    <row r="128" spans="1:9" x14ac:dyDescent="0.25">
      <c r="A128" t="s">
        <v>153</v>
      </c>
      <c r="B128" t="s">
        <v>15</v>
      </c>
      <c r="C128" t="s">
        <v>41</v>
      </c>
      <c r="D128" t="s">
        <v>23</v>
      </c>
      <c r="E128" t="s">
        <v>18</v>
      </c>
      <c r="F128">
        <v>88</v>
      </c>
      <c r="G128">
        <v>50993.47</v>
      </c>
      <c r="H128">
        <v>4</v>
      </c>
      <c r="I128">
        <v>82</v>
      </c>
    </row>
    <row r="129" spans="1:9" x14ac:dyDescent="0.25">
      <c r="A129" t="s">
        <v>154</v>
      </c>
      <c r="B129" t="s">
        <v>22</v>
      </c>
      <c r="C129" t="s">
        <v>41</v>
      </c>
      <c r="D129" t="s">
        <v>17</v>
      </c>
      <c r="E129" t="s">
        <v>18</v>
      </c>
      <c r="F129">
        <v>7</v>
      </c>
      <c r="G129">
        <v>135590.48000000001</v>
      </c>
      <c r="H129">
        <v>6</v>
      </c>
      <c r="I129">
        <v>46</v>
      </c>
    </row>
    <row r="130" spans="1:9" x14ac:dyDescent="0.25">
      <c r="A130" t="s">
        <v>155</v>
      </c>
      <c r="B130" t="s">
        <v>15</v>
      </c>
      <c r="C130" t="s">
        <v>41</v>
      </c>
      <c r="D130" t="s">
        <v>32</v>
      </c>
      <c r="E130" t="s">
        <v>13</v>
      </c>
      <c r="F130">
        <v>73</v>
      </c>
      <c r="G130">
        <v>148956.56</v>
      </c>
      <c r="H130">
        <v>6</v>
      </c>
      <c r="I130">
        <v>100</v>
      </c>
    </row>
    <row r="131" spans="1:9" x14ac:dyDescent="0.25">
      <c r="A131" t="s">
        <v>156</v>
      </c>
      <c r="B131" t="s">
        <v>25</v>
      </c>
      <c r="C131" t="s">
        <v>16</v>
      </c>
      <c r="D131" t="s">
        <v>12</v>
      </c>
      <c r="E131" t="s">
        <v>18</v>
      </c>
      <c r="F131">
        <v>83</v>
      </c>
      <c r="G131">
        <v>71584.960000000006</v>
      </c>
      <c r="H131">
        <v>26</v>
      </c>
      <c r="I131">
        <v>55</v>
      </c>
    </row>
    <row r="132" spans="1:9" x14ac:dyDescent="0.25">
      <c r="A132" t="s">
        <v>157</v>
      </c>
      <c r="B132" t="s">
        <v>22</v>
      </c>
      <c r="C132" t="s">
        <v>28</v>
      </c>
      <c r="D132" t="s">
        <v>17</v>
      </c>
      <c r="E132" t="s">
        <v>29</v>
      </c>
      <c r="F132">
        <v>37</v>
      </c>
      <c r="G132">
        <v>78613.16</v>
      </c>
      <c r="H132">
        <v>20</v>
      </c>
      <c r="I132">
        <v>85</v>
      </c>
    </row>
    <row r="133" spans="1:9" x14ac:dyDescent="0.25">
      <c r="A133" t="s">
        <v>158</v>
      </c>
      <c r="B133" t="s">
        <v>22</v>
      </c>
      <c r="C133" t="s">
        <v>11</v>
      </c>
      <c r="D133" t="s">
        <v>23</v>
      </c>
      <c r="E133" t="s">
        <v>18</v>
      </c>
      <c r="F133">
        <v>53</v>
      </c>
      <c r="G133">
        <v>103548.4</v>
      </c>
      <c r="H133">
        <v>27</v>
      </c>
      <c r="I133">
        <v>74</v>
      </c>
    </row>
    <row r="134" spans="1:9" x14ac:dyDescent="0.25">
      <c r="A134" t="s">
        <v>159</v>
      </c>
      <c r="B134" t="s">
        <v>31</v>
      </c>
      <c r="C134" t="s">
        <v>11</v>
      </c>
      <c r="D134" t="s">
        <v>32</v>
      </c>
      <c r="E134" t="s">
        <v>29</v>
      </c>
      <c r="F134">
        <v>50</v>
      </c>
      <c r="G134">
        <v>62134.18</v>
      </c>
      <c r="H134">
        <v>13</v>
      </c>
      <c r="I134">
        <v>40</v>
      </c>
    </row>
    <row r="135" spans="1:9" x14ac:dyDescent="0.25">
      <c r="A135" t="s">
        <v>160</v>
      </c>
      <c r="B135" t="s">
        <v>36</v>
      </c>
      <c r="C135" t="s">
        <v>41</v>
      </c>
      <c r="D135" t="s">
        <v>32</v>
      </c>
      <c r="E135" t="s">
        <v>18</v>
      </c>
      <c r="F135">
        <v>7</v>
      </c>
      <c r="G135">
        <v>59235.13</v>
      </c>
      <c r="H135">
        <v>12</v>
      </c>
      <c r="I135">
        <v>42</v>
      </c>
    </row>
    <row r="136" spans="1:9" x14ac:dyDescent="0.25">
      <c r="A136" t="s">
        <v>161</v>
      </c>
      <c r="B136" t="s">
        <v>10</v>
      </c>
      <c r="C136" t="s">
        <v>28</v>
      </c>
      <c r="D136" t="s">
        <v>32</v>
      </c>
      <c r="E136" t="s">
        <v>18</v>
      </c>
      <c r="F136">
        <v>38</v>
      </c>
      <c r="G136">
        <v>118022.05</v>
      </c>
      <c r="H136">
        <v>17</v>
      </c>
      <c r="I136">
        <v>79</v>
      </c>
    </row>
    <row r="137" spans="1:9" x14ac:dyDescent="0.25">
      <c r="A137" t="s">
        <v>162</v>
      </c>
      <c r="B137" t="s">
        <v>25</v>
      </c>
      <c r="C137" t="s">
        <v>11</v>
      </c>
      <c r="D137" t="s">
        <v>26</v>
      </c>
      <c r="E137" t="s">
        <v>13</v>
      </c>
      <c r="F137">
        <v>49</v>
      </c>
      <c r="G137">
        <v>127750.62</v>
      </c>
      <c r="H137">
        <v>18</v>
      </c>
      <c r="I137">
        <v>60</v>
      </c>
    </row>
    <row r="138" spans="1:9" x14ac:dyDescent="0.25">
      <c r="A138" t="s">
        <v>163</v>
      </c>
      <c r="B138" t="s">
        <v>15</v>
      </c>
      <c r="C138" t="s">
        <v>28</v>
      </c>
      <c r="D138" t="s">
        <v>17</v>
      </c>
      <c r="E138" t="s">
        <v>29</v>
      </c>
      <c r="F138">
        <v>27</v>
      </c>
      <c r="G138">
        <v>79666.86</v>
      </c>
      <c r="H138">
        <v>16</v>
      </c>
      <c r="I138">
        <v>85</v>
      </c>
    </row>
    <row r="139" spans="1:9" x14ac:dyDescent="0.25">
      <c r="A139" t="s">
        <v>164</v>
      </c>
      <c r="B139" t="s">
        <v>22</v>
      </c>
      <c r="C139" t="s">
        <v>41</v>
      </c>
      <c r="D139" t="s">
        <v>12</v>
      </c>
      <c r="E139" t="s">
        <v>13</v>
      </c>
      <c r="F139">
        <v>65</v>
      </c>
      <c r="G139">
        <v>120956.04</v>
      </c>
      <c r="H139">
        <v>25</v>
      </c>
      <c r="I139">
        <v>95</v>
      </c>
    </row>
    <row r="140" spans="1:9" x14ac:dyDescent="0.25">
      <c r="A140" t="s">
        <v>165</v>
      </c>
      <c r="B140" t="s">
        <v>10</v>
      </c>
      <c r="C140" t="s">
        <v>28</v>
      </c>
      <c r="D140" t="s">
        <v>26</v>
      </c>
      <c r="E140" t="s">
        <v>18</v>
      </c>
      <c r="F140">
        <v>58</v>
      </c>
      <c r="G140">
        <v>100338.81</v>
      </c>
      <c r="H140">
        <v>7</v>
      </c>
      <c r="I140">
        <v>59</v>
      </c>
    </row>
    <row r="141" spans="1:9" x14ac:dyDescent="0.25">
      <c r="A141" t="s">
        <v>166</v>
      </c>
      <c r="B141" t="s">
        <v>31</v>
      </c>
      <c r="C141" t="s">
        <v>28</v>
      </c>
      <c r="D141" t="s">
        <v>12</v>
      </c>
      <c r="E141" t="s">
        <v>13</v>
      </c>
      <c r="F141">
        <v>22</v>
      </c>
      <c r="G141">
        <v>120621.62</v>
      </c>
      <c r="H141">
        <v>21</v>
      </c>
      <c r="I141">
        <v>74</v>
      </c>
    </row>
    <row r="142" spans="1:9" x14ac:dyDescent="0.25">
      <c r="A142" t="s">
        <v>167</v>
      </c>
      <c r="B142" t="s">
        <v>10</v>
      </c>
      <c r="C142" t="s">
        <v>28</v>
      </c>
      <c r="D142" t="s">
        <v>23</v>
      </c>
      <c r="E142" t="s">
        <v>18</v>
      </c>
      <c r="F142">
        <v>10</v>
      </c>
      <c r="G142">
        <v>21143.75</v>
      </c>
      <c r="H142">
        <v>2</v>
      </c>
      <c r="I142">
        <v>42</v>
      </c>
    </row>
    <row r="143" spans="1:9" x14ac:dyDescent="0.25">
      <c r="A143" t="s">
        <v>168</v>
      </c>
      <c r="B143" t="s">
        <v>31</v>
      </c>
      <c r="C143" t="s">
        <v>28</v>
      </c>
      <c r="D143" t="s">
        <v>32</v>
      </c>
      <c r="E143" t="s">
        <v>29</v>
      </c>
      <c r="F143">
        <v>37</v>
      </c>
      <c r="G143">
        <v>58168.06</v>
      </c>
      <c r="H143">
        <v>3</v>
      </c>
      <c r="I143">
        <v>84</v>
      </c>
    </row>
    <row r="144" spans="1:9" x14ac:dyDescent="0.25">
      <c r="A144" t="s">
        <v>169</v>
      </c>
      <c r="B144" t="s">
        <v>15</v>
      </c>
      <c r="C144" t="s">
        <v>41</v>
      </c>
      <c r="D144" t="s">
        <v>32</v>
      </c>
      <c r="E144" t="s">
        <v>13</v>
      </c>
      <c r="F144">
        <v>57</v>
      </c>
      <c r="G144">
        <v>121600.57</v>
      </c>
      <c r="H144">
        <v>19</v>
      </c>
      <c r="I144">
        <v>94</v>
      </c>
    </row>
    <row r="145" spans="1:9" x14ac:dyDescent="0.25">
      <c r="A145" t="s">
        <v>170</v>
      </c>
      <c r="B145" t="s">
        <v>25</v>
      </c>
      <c r="C145" t="s">
        <v>16</v>
      </c>
      <c r="D145" t="s">
        <v>26</v>
      </c>
      <c r="E145" t="s">
        <v>18</v>
      </c>
      <c r="F145">
        <v>26</v>
      </c>
      <c r="G145">
        <v>60409.31</v>
      </c>
      <c r="H145">
        <v>25</v>
      </c>
      <c r="I145">
        <v>94</v>
      </c>
    </row>
    <row r="146" spans="1:9" x14ac:dyDescent="0.25">
      <c r="A146" t="s">
        <v>171</v>
      </c>
      <c r="B146" t="s">
        <v>10</v>
      </c>
      <c r="C146" t="s">
        <v>16</v>
      </c>
      <c r="D146" t="s">
        <v>23</v>
      </c>
      <c r="E146" t="s">
        <v>18</v>
      </c>
      <c r="F146">
        <v>51</v>
      </c>
      <c r="G146">
        <v>148766.01</v>
      </c>
      <c r="H146">
        <v>21</v>
      </c>
      <c r="I146">
        <v>76</v>
      </c>
    </row>
    <row r="147" spans="1:9" x14ac:dyDescent="0.25">
      <c r="A147" t="s">
        <v>172</v>
      </c>
      <c r="B147" t="s">
        <v>10</v>
      </c>
      <c r="C147" t="s">
        <v>28</v>
      </c>
      <c r="D147" t="s">
        <v>26</v>
      </c>
      <c r="E147" t="s">
        <v>18</v>
      </c>
      <c r="F147">
        <v>1</v>
      </c>
      <c r="G147">
        <v>46211.03</v>
      </c>
      <c r="H147">
        <v>4</v>
      </c>
      <c r="I147">
        <v>97</v>
      </c>
    </row>
    <row r="148" spans="1:9" x14ac:dyDescent="0.25">
      <c r="A148" t="s">
        <v>173</v>
      </c>
      <c r="B148" t="s">
        <v>36</v>
      </c>
      <c r="C148" t="s">
        <v>11</v>
      </c>
      <c r="D148" t="s">
        <v>26</v>
      </c>
      <c r="E148" t="s">
        <v>18</v>
      </c>
      <c r="F148">
        <v>61</v>
      </c>
      <c r="G148">
        <v>32781.94</v>
      </c>
      <c r="H148">
        <v>1</v>
      </c>
      <c r="I148">
        <v>83</v>
      </c>
    </row>
    <row r="149" spans="1:9" x14ac:dyDescent="0.25">
      <c r="A149" t="s">
        <v>174</v>
      </c>
      <c r="B149" t="s">
        <v>36</v>
      </c>
      <c r="C149" t="s">
        <v>16</v>
      </c>
      <c r="D149" t="s">
        <v>17</v>
      </c>
      <c r="E149" t="s">
        <v>29</v>
      </c>
      <c r="F149">
        <v>34</v>
      </c>
      <c r="G149">
        <v>139264.72</v>
      </c>
      <c r="H149">
        <v>14</v>
      </c>
      <c r="I149">
        <v>72</v>
      </c>
    </row>
    <row r="150" spans="1:9" x14ac:dyDescent="0.25">
      <c r="A150" t="s">
        <v>175</v>
      </c>
      <c r="B150" t="s">
        <v>15</v>
      </c>
      <c r="C150" t="s">
        <v>11</v>
      </c>
      <c r="D150" t="s">
        <v>32</v>
      </c>
      <c r="E150" t="s">
        <v>13</v>
      </c>
      <c r="F150">
        <v>78</v>
      </c>
      <c r="G150">
        <v>15165.98</v>
      </c>
      <c r="H150">
        <v>25</v>
      </c>
      <c r="I150">
        <v>86</v>
      </c>
    </row>
    <row r="151" spans="1:9" x14ac:dyDescent="0.25">
      <c r="A151" t="s">
        <v>176</v>
      </c>
      <c r="B151" t="s">
        <v>10</v>
      </c>
      <c r="C151" t="s">
        <v>28</v>
      </c>
      <c r="D151" t="s">
        <v>17</v>
      </c>
      <c r="E151" t="s">
        <v>18</v>
      </c>
      <c r="F151">
        <v>73</v>
      </c>
      <c r="G151">
        <v>133910.69</v>
      </c>
      <c r="H151">
        <v>22</v>
      </c>
      <c r="I151">
        <v>87</v>
      </c>
    </row>
    <row r="152" spans="1:9" x14ac:dyDescent="0.25">
      <c r="A152" t="s">
        <v>177</v>
      </c>
      <c r="B152" t="s">
        <v>25</v>
      </c>
      <c r="C152" t="s">
        <v>28</v>
      </c>
      <c r="D152" t="s">
        <v>12</v>
      </c>
      <c r="E152" t="s">
        <v>18</v>
      </c>
      <c r="F152">
        <v>8</v>
      </c>
      <c r="G152">
        <v>82835.539999999994</v>
      </c>
      <c r="H152">
        <v>24</v>
      </c>
      <c r="I152">
        <v>94</v>
      </c>
    </row>
    <row r="153" spans="1:9" x14ac:dyDescent="0.25">
      <c r="A153" t="s">
        <v>178</v>
      </c>
      <c r="B153" t="s">
        <v>10</v>
      </c>
      <c r="C153" t="s">
        <v>16</v>
      </c>
      <c r="D153" t="s">
        <v>32</v>
      </c>
      <c r="E153" t="s">
        <v>18</v>
      </c>
      <c r="F153">
        <v>16</v>
      </c>
      <c r="G153">
        <v>109945.06</v>
      </c>
      <c r="H153">
        <v>23</v>
      </c>
      <c r="I153">
        <v>76</v>
      </c>
    </row>
    <row r="154" spans="1:9" x14ac:dyDescent="0.25">
      <c r="A154" t="s">
        <v>179</v>
      </c>
      <c r="B154" t="s">
        <v>10</v>
      </c>
      <c r="C154" t="s">
        <v>16</v>
      </c>
      <c r="D154" t="s">
        <v>26</v>
      </c>
      <c r="E154" t="s">
        <v>29</v>
      </c>
      <c r="F154">
        <v>3</v>
      </c>
      <c r="G154">
        <v>40894.400000000001</v>
      </c>
      <c r="H154">
        <v>20</v>
      </c>
      <c r="I154">
        <v>46</v>
      </c>
    </row>
    <row r="155" spans="1:9" x14ac:dyDescent="0.25">
      <c r="A155" t="s">
        <v>180</v>
      </c>
      <c r="B155" t="s">
        <v>10</v>
      </c>
      <c r="C155" t="s">
        <v>16</v>
      </c>
      <c r="D155" t="s">
        <v>26</v>
      </c>
      <c r="E155" t="s">
        <v>29</v>
      </c>
      <c r="F155">
        <v>28</v>
      </c>
      <c r="G155">
        <v>5522.04</v>
      </c>
      <c r="H155">
        <v>20</v>
      </c>
      <c r="I155">
        <v>95</v>
      </c>
    </row>
    <row r="156" spans="1:9" x14ac:dyDescent="0.25">
      <c r="A156" t="s">
        <v>181</v>
      </c>
      <c r="B156" t="s">
        <v>22</v>
      </c>
      <c r="C156" t="s">
        <v>41</v>
      </c>
      <c r="D156" t="s">
        <v>26</v>
      </c>
      <c r="E156" t="s">
        <v>18</v>
      </c>
      <c r="F156">
        <v>38</v>
      </c>
      <c r="G156">
        <v>121567.96</v>
      </c>
      <c r="H156">
        <v>26</v>
      </c>
      <c r="I156">
        <v>65</v>
      </c>
    </row>
    <row r="157" spans="1:9" x14ac:dyDescent="0.25">
      <c r="A157" t="s">
        <v>182</v>
      </c>
      <c r="B157" t="s">
        <v>10</v>
      </c>
      <c r="C157" t="s">
        <v>41</v>
      </c>
      <c r="D157" t="s">
        <v>32</v>
      </c>
      <c r="E157" t="s">
        <v>13</v>
      </c>
      <c r="F157">
        <v>2</v>
      </c>
      <c r="G157">
        <v>14606.74</v>
      </c>
      <c r="H157">
        <v>30</v>
      </c>
      <c r="I157">
        <v>75</v>
      </c>
    </row>
    <row r="158" spans="1:9" x14ac:dyDescent="0.25">
      <c r="A158" t="s">
        <v>183</v>
      </c>
      <c r="B158" t="s">
        <v>15</v>
      </c>
      <c r="C158" t="s">
        <v>28</v>
      </c>
      <c r="D158" t="s">
        <v>23</v>
      </c>
      <c r="E158" t="s">
        <v>18</v>
      </c>
      <c r="F158">
        <v>6</v>
      </c>
      <c r="G158">
        <v>116568.72</v>
      </c>
      <c r="H158">
        <v>24</v>
      </c>
      <c r="I158">
        <v>65</v>
      </c>
    </row>
    <row r="159" spans="1:9" x14ac:dyDescent="0.25">
      <c r="A159" t="s">
        <v>184</v>
      </c>
      <c r="B159" t="s">
        <v>25</v>
      </c>
      <c r="C159" t="s">
        <v>16</v>
      </c>
      <c r="D159" t="s">
        <v>32</v>
      </c>
      <c r="E159" t="s">
        <v>18</v>
      </c>
      <c r="F159">
        <v>33</v>
      </c>
      <c r="G159">
        <v>70189.8</v>
      </c>
      <c r="H159">
        <v>14</v>
      </c>
      <c r="I159">
        <v>88</v>
      </c>
    </row>
    <row r="160" spans="1:9" x14ac:dyDescent="0.25">
      <c r="A160" t="s">
        <v>185</v>
      </c>
      <c r="B160" t="s">
        <v>36</v>
      </c>
      <c r="C160" t="s">
        <v>16</v>
      </c>
      <c r="D160" t="s">
        <v>26</v>
      </c>
      <c r="E160" t="s">
        <v>29</v>
      </c>
      <c r="F160">
        <v>28</v>
      </c>
      <c r="G160">
        <v>136392.39000000001</v>
      </c>
      <c r="H160">
        <v>22</v>
      </c>
      <c r="I160">
        <v>77</v>
      </c>
    </row>
    <row r="161" spans="1:9" x14ac:dyDescent="0.25">
      <c r="A161" t="s">
        <v>186</v>
      </c>
      <c r="B161" t="s">
        <v>36</v>
      </c>
      <c r="C161" t="s">
        <v>41</v>
      </c>
      <c r="D161" t="s">
        <v>26</v>
      </c>
      <c r="E161" t="s">
        <v>29</v>
      </c>
      <c r="F161">
        <v>56</v>
      </c>
      <c r="G161">
        <v>139281.34</v>
      </c>
      <c r="H161">
        <v>24</v>
      </c>
      <c r="I161">
        <v>96</v>
      </c>
    </row>
    <row r="162" spans="1:9" x14ac:dyDescent="0.25">
      <c r="A162" t="s">
        <v>187</v>
      </c>
      <c r="B162" t="s">
        <v>15</v>
      </c>
      <c r="C162" t="s">
        <v>11</v>
      </c>
      <c r="D162" t="s">
        <v>26</v>
      </c>
      <c r="E162" t="s">
        <v>18</v>
      </c>
      <c r="F162">
        <v>80</v>
      </c>
      <c r="G162">
        <v>140818.37</v>
      </c>
      <c r="H162">
        <v>9</v>
      </c>
      <c r="I162">
        <v>42</v>
      </c>
    </row>
    <row r="163" spans="1:9" x14ac:dyDescent="0.25">
      <c r="A163" t="s">
        <v>188</v>
      </c>
      <c r="B163" t="s">
        <v>31</v>
      </c>
      <c r="C163" t="s">
        <v>41</v>
      </c>
      <c r="D163" t="s">
        <v>17</v>
      </c>
      <c r="E163" t="s">
        <v>18</v>
      </c>
      <c r="F163">
        <v>74</v>
      </c>
      <c r="G163">
        <v>56018.43</v>
      </c>
      <c r="H163">
        <v>7</v>
      </c>
      <c r="I163">
        <v>77</v>
      </c>
    </row>
    <row r="164" spans="1:9" x14ac:dyDescent="0.25">
      <c r="A164" t="s">
        <v>189</v>
      </c>
      <c r="B164" t="s">
        <v>22</v>
      </c>
      <c r="C164" t="s">
        <v>41</v>
      </c>
      <c r="D164" t="s">
        <v>32</v>
      </c>
      <c r="E164" t="s">
        <v>29</v>
      </c>
      <c r="F164">
        <v>72</v>
      </c>
      <c r="G164">
        <v>144841.74</v>
      </c>
      <c r="H164">
        <v>5</v>
      </c>
      <c r="I164">
        <v>57</v>
      </c>
    </row>
    <row r="165" spans="1:9" x14ac:dyDescent="0.25">
      <c r="A165" t="s">
        <v>190</v>
      </c>
      <c r="B165" t="s">
        <v>31</v>
      </c>
      <c r="C165" t="s">
        <v>11</v>
      </c>
      <c r="D165" t="s">
        <v>23</v>
      </c>
      <c r="E165" t="s">
        <v>18</v>
      </c>
      <c r="F165">
        <v>14</v>
      </c>
      <c r="G165">
        <v>123398.79</v>
      </c>
      <c r="H165">
        <v>21</v>
      </c>
      <c r="I165">
        <v>77</v>
      </c>
    </row>
    <row r="166" spans="1:9" x14ac:dyDescent="0.25">
      <c r="A166" t="s">
        <v>191</v>
      </c>
      <c r="B166" t="s">
        <v>15</v>
      </c>
      <c r="C166" t="s">
        <v>41</v>
      </c>
      <c r="D166" t="s">
        <v>32</v>
      </c>
      <c r="E166" t="s">
        <v>18</v>
      </c>
      <c r="F166">
        <v>48</v>
      </c>
      <c r="G166">
        <v>10911.55</v>
      </c>
      <c r="H166">
        <v>19</v>
      </c>
      <c r="I166">
        <v>47</v>
      </c>
    </row>
    <row r="167" spans="1:9" x14ac:dyDescent="0.25">
      <c r="A167" t="s">
        <v>192</v>
      </c>
      <c r="B167" t="s">
        <v>36</v>
      </c>
      <c r="C167" t="s">
        <v>16</v>
      </c>
      <c r="D167" t="s">
        <v>32</v>
      </c>
      <c r="E167" t="s">
        <v>13</v>
      </c>
      <c r="F167">
        <v>87</v>
      </c>
      <c r="G167">
        <v>96532.96</v>
      </c>
      <c r="H167">
        <v>7</v>
      </c>
      <c r="I167">
        <v>93</v>
      </c>
    </row>
    <row r="168" spans="1:9" x14ac:dyDescent="0.25">
      <c r="A168" t="s">
        <v>193</v>
      </c>
      <c r="B168" t="s">
        <v>15</v>
      </c>
      <c r="C168" t="s">
        <v>41</v>
      </c>
      <c r="D168" t="s">
        <v>32</v>
      </c>
      <c r="E168" t="s">
        <v>29</v>
      </c>
      <c r="F168">
        <v>49</v>
      </c>
      <c r="G168">
        <v>126056.09</v>
      </c>
      <c r="H168">
        <v>11</v>
      </c>
      <c r="I168">
        <v>78</v>
      </c>
    </row>
    <row r="169" spans="1:9" x14ac:dyDescent="0.25">
      <c r="A169" t="s">
        <v>194</v>
      </c>
      <c r="B169" t="s">
        <v>36</v>
      </c>
      <c r="C169" t="s">
        <v>41</v>
      </c>
      <c r="D169" t="s">
        <v>32</v>
      </c>
      <c r="E169" t="s">
        <v>29</v>
      </c>
      <c r="F169">
        <v>42</v>
      </c>
      <c r="G169">
        <v>92788.13</v>
      </c>
      <c r="H169">
        <v>4</v>
      </c>
      <c r="I169">
        <v>41</v>
      </c>
    </row>
    <row r="170" spans="1:9" x14ac:dyDescent="0.25">
      <c r="A170" t="s">
        <v>195</v>
      </c>
      <c r="B170" t="s">
        <v>15</v>
      </c>
      <c r="C170" t="s">
        <v>11</v>
      </c>
      <c r="D170" t="s">
        <v>26</v>
      </c>
      <c r="E170" t="s">
        <v>18</v>
      </c>
      <c r="F170">
        <v>36</v>
      </c>
      <c r="G170">
        <v>24614.639999999999</v>
      </c>
      <c r="H170">
        <v>30</v>
      </c>
      <c r="I170">
        <v>57</v>
      </c>
    </row>
    <row r="171" spans="1:9" x14ac:dyDescent="0.25">
      <c r="A171" t="s">
        <v>196</v>
      </c>
      <c r="B171" t="s">
        <v>31</v>
      </c>
      <c r="C171" t="s">
        <v>11</v>
      </c>
      <c r="D171" t="s">
        <v>12</v>
      </c>
      <c r="E171" t="s">
        <v>29</v>
      </c>
      <c r="F171">
        <v>56</v>
      </c>
      <c r="G171">
        <v>36862.400000000001</v>
      </c>
      <c r="H171">
        <v>28</v>
      </c>
      <c r="I171">
        <v>66</v>
      </c>
    </row>
    <row r="172" spans="1:9" x14ac:dyDescent="0.25">
      <c r="A172" t="s">
        <v>197</v>
      </c>
      <c r="B172" t="s">
        <v>10</v>
      </c>
      <c r="C172" t="s">
        <v>16</v>
      </c>
      <c r="D172" t="s">
        <v>12</v>
      </c>
      <c r="E172" t="s">
        <v>18</v>
      </c>
      <c r="F172">
        <v>39</v>
      </c>
      <c r="G172">
        <v>84065.42</v>
      </c>
      <c r="H172">
        <v>28</v>
      </c>
      <c r="I172">
        <v>50</v>
      </c>
    </row>
    <row r="173" spans="1:9" x14ac:dyDescent="0.25">
      <c r="A173" t="s">
        <v>198</v>
      </c>
      <c r="B173" t="s">
        <v>10</v>
      </c>
      <c r="C173" t="s">
        <v>41</v>
      </c>
      <c r="D173" t="s">
        <v>12</v>
      </c>
      <c r="E173" t="s">
        <v>29</v>
      </c>
      <c r="F173">
        <v>42</v>
      </c>
      <c r="G173">
        <v>83047.11</v>
      </c>
      <c r="H173">
        <v>13</v>
      </c>
      <c r="I173">
        <v>50</v>
      </c>
    </row>
    <row r="174" spans="1:9" x14ac:dyDescent="0.25">
      <c r="A174" t="s">
        <v>199</v>
      </c>
      <c r="B174" t="s">
        <v>10</v>
      </c>
      <c r="C174" t="s">
        <v>11</v>
      </c>
      <c r="D174" t="s">
        <v>26</v>
      </c>
      <c r="E174" t="s">
        <v>29</v>
      </c>
      <c r="F174">
        <v>59</v>
      </c>
      <c r="G174">
        <v>96326.11</v>
      </c>
      <c r="H174">
        <v>17</v>
      </c>
      <c r="I174">
        <v>82</v>
      </c>
    </row>
    <row r="175" spans="1:9" x14ac:dyDescent="0.25">
      <c r="A175" t="s">
        <v>200</v>
      </c>
      <c r="B175" t="s">
        <v>36</v>
      </c>
      <c r="C175" t="s">
        <v>41</v>
      </c>
      <c r="D175" t="s">
        <v>12</v>
      </c>
      <c r="E175" t="s">
        <v>18</v>
      </c>
      <c r="F175">
        <v>67</v>
      </c>
      <c r="G175">
        <v>49487.73</v>
      </c>
      <c r="H175">
        <v>27</v>
      </c>
      <c r="I175">
        <v>72</v>
      </c>
    </row>
    <row r="176" spans="1:9" x14ac:dyDescent="0.25">
      <c r="A176" t="s">
        <v>201</v>
      </c>
      <c r="B176" t="s">
        <v>10</v>
      </c>
      <c r="C176" t="s">
        <v>41</v>
      </c>
      <c r="D176" t="s">
        <v>17</v>
      </c>
      <c r="E176" t="s">
        <v>18</v>
      </c>
      <c r="F176">
        <v>11</v>
      </c>
      <c r="G176">
        <v>18263.25</v>
      </c>
      <c r="H176">
        <v>29</v>
      </c>
      <c r="I176">
        <v>83</v>
      </c>
    </row>
    <row r="177" spans="1:9" x14ac:dyDescent="0.25">
      <c r="A177" t="s">
        <v>202</v>
      </c>
      <c r="B177" t="s">
        <v>31</v>
      </c>
      <c r="C177" t="s">
        <v>28</v>
      </c>
      <c r="D177" t="s">
        <v>12</v>
      </c>
      <c r="E177" t="s">
        <v>13</v>
      </c>
      <c r="F177">
        <v>3</v>
      </c>
      <c r="G177">
        <v>149013.84</v>
      </c>
      <c r="H177">
        <v>26</v>
      </c>
      <c r="I177">
        <v>93</v>
      </c>
    </row>
    <row r="178" spans="1:9" x14ac:dyDescent="0.25">
      <c r="A178" t="s">
        <v>203</v>
      </c>
      <c r="B178" t="s">
        <v>22</v>
      </c>
      <c r="C178" t="s">
        <v>16</v>
      </c>
      <c r="D178" t="s">
        <v>26</v>
      </c>
      <c r="E178" t="s">
        <v>29</v>
      </c>
      <c r="F178">
        <v>69</v>
      </c>
      <c r="G178">
        <v>46708.35</v>
      </c>
      <c r="H178">
        <v>1</v>
      </c>
      <c r="I178">
        <v>88</v>
      </c>
    </row>
    <row r="179" spans="1:9" x14ac:dyDescent="0.25">
      <c r="A179" t="s">
        <v>204</v>
      </c>
      <c r="B179" t="s">
        <v>25</v>
      </c>
      <c r="C179" t="s">
        <v>11</v>
      </c>
      <c r="D179" t="s">
        <v>17</v>
      </c>
      <c r="E179" t="s">
        <v>18</v>
      </c>
      <c r="F179">
        <v>54</v>
      </c>
      <c r="G179">
        <v>68133.7</v>
      </c>
      <c r="H179">
        <v>9</v>
      </c>
      <c r="I179">
        <v>60</v>
      </c>
    </row>
    <row r="180" spans="1:9" x14ac:dyDescent="0.25">
      <c r="A180" t="s">
        <v>205</v>
      </c>
      <c r="B180" t="s">
        <v>36</v>
      </c>
      <c r="C180" t="s">
        <v>28</v>
      </c>
      <c r="D180" t="s">
        <v>12</v>
      </c>
      <c r="E180" t="s">
        <v>18</v>
      </c>
      <c r="F180">
        <v>82</v>
      </c>
      <c r="G180">
        <v>19213.509999999998</v>
      </c>
      <c r="H180">
        <v>26</v>
      </c>
      <c r="I180">
        <v>96</v>
      </c>
    </row>
    <row r="181" spans="1:9" x14ac:dyDescent="0.25">
      <c r="A181" t="s">
        <v>206</v>
      </c>
      <c r="B181" t="s">
        <v>25</v>
      </c>
      <c r="C181" t="s">
        <v>41</v>
      </c>
      <c r="D181" t="s">
        <v>26</v>
      </c>
      <c r="E181" t="s">
        <v>18</v>
      </c>
      <c r="F181">
        <v>60</v>
      </c>
      <c r="G181">
        <v>22138.22</v>
      </c>
      <c r="H181">
        <v>3</v>
      </c>
      <c r="I181">
        <v>96</v>
      </c>
    </row>
    <row r="182" spans="1:9" x14ac:dyDescent="0.25">
      <c r="A182" t="s">
        <v>207</v>
      </c>
      <c r="B182" t="s">
        <v>22</v>
      </c>
      <c r="C182" t="s">
        <v>16</v>
      </c>
      <c r="D182" t="s">
        <v>17</v>
      </c>
      <c r="E182" t="s">
        <v>18</v>
      </c>
      <c r="F182">
        <v>65</v>
      </c>
      <c r="G182">
        <v>30460.26</v>
      </c>
      <c r="H182">
        <v>21</v>
      </c>
      <c r="I182">
        <v>63</v>
      </c>
    </row>
    <row r="183" spans="1:9" x14ac:dyDescent="0.25">
      <c r="A183" t="s">
        <v>208</v>
      </c>
      <c r="B183" t="s">
        <v>15</v>
      </c>
      <c r="C183" t="s">
        <v>28</v>
      </c>
      <c r="D183" t="s">
        <v>23</v>
      </c>
      <c r="E183" t="s">
        <v>18</v>
      </c>
      <c r="F183">
        <v>5</v>
      </c>
      <c r="G183">
        <v>52772.62</v>
      </c>
      <c r="H183">
        <v>9</v>
      </c>
      <c r="I183">
        <v>62</v>
      </c>
    </row>
    <row r="184" spans="1:9" x14ac:dyDescent="0.25">
      <c r="A184" t="s">
        <v>209</v>
      </c>
      <c r="B184" t="s">
        <v>22</v>
      </c>
      <c r="C184" t="s">
        <v>28</v>
      </c>
      <c r="D184" t="s">
        <v>17</v>
      </c>
      <c r="E184" t="s">
        <v>18</v>
      </c>
      <c r="F184">
        <v>54</v>
      </c>
      <c r="G184">
        <v>118241.71</v>
      </c>
      <c r="H184">
        <v>24</v>
      </c>
      <c r="I184">
        <v>81</v>
      </c>
    </row>
    <row r="185" spans="1:9" x14ac:dyDescent="0.25">
      <c r="A185" t="s">
        <v>210</v>
      </c>
      <c r="B185" t="s">
        <v>10</v>
      </c>
      <c r="C185" t="s">
        <v>16</v>
      </c>
      <c r="D185" t="s">
        <v>32</v>
      </c>
      <c r="E185" t="s">
        <v>18</v>
      </c>
      <c r="F185">
        <v>64</v>
      </c>
      <c r="G185">
        <v>19477.689999999999</v>
      </c>
      <c r="H185">
        <v>6</v>
      </c>
      <c r="I185">
        <v>65</v>
      </c>
    </row>
    <row r="186" spans="1:9" x14ac:dyDescent="0.25">
      <c r="A186" t="s">
        <v>211</v>
      </c>
      <c r="B186" t="s">
        <v>36</v>
      </c>
      <c r="C186" t="s">
        <v>28</v>
      </c>
      <c r="D186" t="s">
        <v>23</v>
      </c>
      <c r="E186" t="s">
        <v>13</v>
      </c>
      <c r="F186">
        <v>77</v>
      </c>
      <c r="G186">
        <v>114541.22</v>
      </c>
      <c r="H186">
        <v>25</v>
      </c>
      <c r="I186">
        <v>69</v>
      </c>
    </row>
    <row r="187" spans="1:9" x14ac:dyDescent="0.25">
      <c r="A187" t="s">
        <v>212</v>
      </c>
      <c r="B187" t="s">
        <v>36</v>
      </c>
      <c r="C187" t="s">
        <v>11</v>
      </c>
      <c r="D187" t="s">
        <v>26</v>
      </c>
      <c r="E187" t="s">
        <v>13</v>
      </c>
      <c r="F187">
        <v>72</v>
      </c>
      <c r="G187">
        <v>56437.97</v>
      </c>
      <c r="H187">
        <v>21</v>
      </c>
      <c r="I187">
        <v>78</v>
      </c>
    </row>
    <row r="188" spans="1:9" x14ac:dyDescent="0.25">
      <c r="A188" t="s">
        <v>213</v>
      </c>
      <c r="B188" t="s">
        <v>31</v>
      </c>
      <c r="C188" t="s">
        <v>16</v>
      </c>
      <c r="D188" t="s">
        <v>17</v>
      </c>
      <c r="E188" t="s">
        <v>18</v>
      </c>
      <c r="F188">
        <v>86</v>
      </c>
      <c r="G188">
        <v>53586.34</v>
      </c>
      <c r="H188">
        <v>22</v>
      </c>
      <c r="I188">
        <v>96</v>
      </c>
    </row>
    <row r="189" spans="1:9" x14ac:dyDescent="0.25">
      <c r="A189" t="s">
        <v>214</v>
      </c>
      <c r="B189" t="s">
        <v>10</v>
      </c>
      <c r="C189" t="s">
        <v>41</v>
      </c>
      <c r="D189" t="s">
        <v>17</v>
      </c>
      <c r="E189" t="s">
        <v>13</v>
      </c>
      <c r="F189">
        <v>62</v>
      </c>
      <c r="G189">
        <v>13836.03</v>
      </c>
      <c r="H189">
        <v>15</v>
      </c>
      <c r="I189">
        <v>60</v>
      </c>
    </row>
    <row r="190" spans="1:9" x14ac:dyDescent="0.25">
      <c r="A190" t="s">
        <v>215</v>
      </c>
      <c r="B190" t="s">
        <v>15</v>
      </c>
      <c r="C190" t="s">
        <v>28</v>
      </c>
      <c r="D190" t="s">
        <v>23</v>
      </c>
      <c r="E190" t="s">
        <v>18</v>
      </c>
      <c r="F190">
        <v>38</v>
      </c>
      <c r="G190">
        <v>54960.36</v>
      </c>
      <c r="H190">
        <v>26</v>
      </c>
      <c r="I190">
        <v>61</v>
      </c>
    </row>
    <row r="191" spans="1:9" x14ac:dyDescent="0.25">
      <c r="A191" t="s">
        <v>216</v>
      </c>
      <c r="B191" t="s">
        <v>15</v>
      </c>
      <c r="C191" t="s">
        <v>16</v>
      </c>
      <c r="D191" t="s">
        <v>32</v>
      </c>
      <c r="E191" t="s">
        <v>13</v>
      </c>
      <c r="F191">
        <v>70</v>
      </c>
      <c r="G191">
        <v>92629.07</v>
      </c>
      <c r="H191">
        <v>11</v>
      </c>
      <c r="I191">
        <v>96</v>
      </c>
    </row>
    <row r="192" spans="1:9" x14ac:dyDescent="0.25">
      <c r="A192" t="s">
        <v>217</v>
      </c>
      <c r="B192" t="s">
        <v>25</v>
      </c>
      <c r="C192" t="s">
        <v>41</v>
      </c>
      <c r="D192" t="s">
        <v>32</v>
      </c>
      <c r="E192" t="s">
        <v>29</v>
      </c>
      <c r="F192">
        <v>52</v>
      </c>
      <c r="G192">
        <v>69945.08</v>
      </c>
      <c r="H192">
        <v>8</v>
      </c>
      <c r="I192">
        <v>80</v>
      </c>
    </row>
    <row r="193" spans="1:9" x14ac:dyDescent="0.25">
      <c r="A193" t="s">
        <v>218</v>
      </c>
      <c r="B193" t="s">
        <v>22</v>
      </c>
      <c r="C193" t="s">
        <v>16</v>
      </c>
      <c r="D193" t="s">
        <v>12</v>
      </c>
      <c r="E193" t="s">
        <v>13</v>
      </c>
      <c r="F193">
        <v>62</v>
      </c>
      <c r="G193">
        <v>132120.79</v>
      </c>
      <c r="H193">
        <v>25</v>
      </c>
      <c r="I193">
        <v>81</v>
      </c>
    </row>
    <row r="194" spans="1:9" x14ac:dyDescent="0.25">
      <c r="A194" t="s">
        <v>219</v>
      </c>
      <c r="B194" t="s">
        <v>22</v>
      </c>
      <c r="C194" t="s">
        <v>16</v>
      </c>
      <c r="D194" t="s">
        <v>26</v>
      </c>
      <c r="E194" t="s">
        <v>18</v>
      </c>
      <c r="F194">
        <v>22</v>
      </c>
      <c r="G194">
        <v>132726.88</v>
      </c>
      <c r="H194">
        <v>24</v>
      </c>
      <c r="I194">
        <v>54</v>
      </c>
    </row>
    <row r="195" spans="1:9" x14ac:dyDescent="0.25">
      <c r="A195" t="s">
        <v>220</v>
      </c>
      <c r="B195" t="s">
        <v>10</v>
      </c>
      <c r="C195" t="s">
        <v>16</v>
      </c>
      <c r="D195" t="s">
        <v>17</v>
      </c>
      <c r="E195" t="s">
        <v>29</v>
      </c>
      <c r="F195">
        <v>70</v>
      </c>
      <c r="G195">
        <v>40806.769999999997</v>
      </c>
      <c r="H195">
        <v>1</v>
      </c>
      <c r="I195">
        <v>51</v>
      </c>
    </row>
    <row r="196" spans="1:9" x14ac:dyDescent="0.25">
      <c r="A196" t="s">
        <v>221</v>
      </c>
      <c r="B196" t="s">
        <v>25</v>
      </c>
      <c r="C196" t="s">
        <v>41</v>
      </c>
      <c r="D196" t="s">
        <v>32</v>
      </c>
      <c r="E196" t="s">
        <v>13</v>
      </c>
      <c r="F196">
        <v>33</v>
      </c>
      <c r="G196">
        <v>56926.38</v>
      </c>
      <c r="H196">
        <v>11</v>
      </c>
      <c r="I196">
        <v>81</v>
      </c>
    </row>
    <row r="197" spans="1:9" x14ac:dyDescent="0.25">
      <c r="A197" t="s">
        <v>222</v>
      </c>
      <c r="B197" t="s">
        <v>22</v>
      </c>
      <c r="C197" t="s">
        <v>16</v>
      </c>
      <c r="D197" t="s">
        <v>32</v>
      </c>
      <c r="E197" t="s">
        <v>29</v>
      </c>
      <c r="F197">
        <v>1</v>
      </c>
      <c r="G197">
        <v>87386.12</v>
      </c>
      <c r="H197">
        <v>14</v>
      </c>
      <c r="I197">
        <v>63</v>
      </c>
    </row>
    <row r="198" spans="1:9" x14ac:dyDescent="0.25">
      <c r="A198" t="s">
        <v>223</v>
      </c>
      <c r="B198" t="s">
        <v>22</v>
      </c>
      <c r="C198" t="s">
        <v>28</v>
      </c>
      <c r="D198" t="s">
        <v>12</v>
      </c>
      <c r="E198" t="s">
        <v>13</v>
      </c>
      <c r="F198">
        <v>8</v>
      </c>
      <c r="G198">
        <v>7805.22</v>
      </c>
      <c r="H198">
        <v>13</v>
      </c>
      <c r="I198">
        <v>91</v>
      </c>
    </row>
    <row r="199" spans="1:9" x14ac:dyDescent="0.25">
      <c r="A199" t="s">
        <v>224</v>
      </c>
      <c r="B199" t="s">
        <v>22</v>
      </c>
      <c r="C199" t="s">
        <v>11</v>
      </c>
      <c r="D199" t="s">
        <v>17</v>
      </c>
      <c r="E199" t="s">
        <v>18</v>
      </c>
      <c r="F199">
        <v>90</v>
      </c>
      <c r="G199">
        <v>64936.83</v>
      </c>
      <c r="H199">
        <v>23</v>
      </c>
      <c r="I199">
        <v>51</v>
      </c>
    </row>
    <row r="200" spans="1:9" x14ac:dyDescent="0.25">
      <c r="A200" t="s">
        <v>225</v>
      </c>
      <c r="B200" t="s">
        <v>36</v>
      </c>
      <c r="C200" t="s">
        <v>41</v>
      </c>
      <c r="D200" t="s">
        <v>32</v>
      </c>
      <c r="E200" t="s">
        <v>13</v>
      </c>
      <c r="F200">
        <v>21</v>
      </c>
      <c r="G200">
        <v>57025.03</v>
      </c>
      <c r="H200">
        <v>18</v>
      </c>
      <c r="I200">
        <v>50</v>
      </c>
    </row>
    <row r="201" spans="1:9" x14ac:dyDescent="0.25">
      <c r="A201" t="s">
        <v>226</v>
      </c>
      <c r="B201" t="s">
        <v>36</v>
      </c>
      <c r="C201" t="s">
        <v>41</v>
      </c>
      <c r="D201" t="s">
        <v>23</v>
      </c>
      <c r="E201" t="s">
        <v>13</v>
      </c>
      <c r="F201">
        <v>39</v>
      </c>
      <c r="G201">
        <v>145631.91</v>
      </c>
      <c r="H201">
        <v>6</v>
      </c>
      <c r="I201">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workbookViewId="0">
      <selection activeCell="I10" sqref="I10"/>
    </sheetView>
  </sheetViews>
  <sheetFormatPr defaultRowHeight="15" x14ac:dyDescent="0.25"/>
  <cols>
    <col min="1" max="1" width="11.85546875" customWidth="1"/>
    <col min="2" max="2" width="13.85546875" customWidth="1"/>
    <col min="3" max="3" width="17.140625" customWidth="1"/>
    <col min="4" max="4" width="14.7109375" customWidth="1"/>
    <col min="5" max="5" width="9.85546875" customWidth="1"/>
    <col min="7" max="7" width="16.7109375" customWidth="1"/>
    <col min="8" max="8" width="20.5703125" customWidth="1"/>
    <col min="9" max="9" width="16.5703125" customWidth="1"/>
  </cols>
  <sheetData>
    <row r="1" spans="1:9" x14ac:dyDescent="0.25">
      <c r="A1" t="s">
        <v>231</v>
      </c>
      <c r="B1" t="s">
        <v>1</v>
      </c>
      <c r="C1" t="s">
        <v>232</v>
      </c>
      <c r="D1" t="s">
        <v>233</v>
      </c>
      <c r="E1" t="s">
        <v>234</v>
      </c>
      <c r="F1" t="s">
        <v>5</v>
      </c>
      <c r="G1" t="s">
        <v>6</v>
      </c>
      <c r="H1" t="s">
        <v>7</v>
      </c>
      <c r="I1" t="s">
        <v>8</v>
      </c>
    </row>
    <row r="2" spans="1:9" x14ac:dyDescent="0.25">
      <c r="A2" t="s">
        <v>226</v>
      </c>
      <c r="B2" t="s">
        <v>36</v>
      </c>
      <c r="C2" t="s">
        <v>41</v>
      </c>
      <c r="D2" t="s">
        <v>23</v>
      </c>
      <c r="E2" t="s">
        <v>13</v>
      </c>
      <c r="F2">
        <v>39</v>
      </c>
      <c r="G2">
        <v>145631.91</v>
      </c>
      <c r="H2">
        <v>6</v>
      </c>
      <c r="I2">
        <v>49</v>
      </c>
    </row>
    <row r="3" spans="1:9" x14ac:dyDescent="0.25">
      <c r="A3" t="s">
        <v>225</v>
      </c>
      <c r="B3" t="s">
        <v>36</v>
      </c>
      <c r="C3" t="s">
        <v>41</v>
      </c>
      <c r="D3" t="s">
        <v>32</v>
      </c>
      <c r="E3" t="s">
        <v>13</v>
      </c>
      <c r="F3">
        <v>21</v>
      </c>
      <c r="G3">
        <v>57025.03</v>
      </c>
      <c r="H3">
        <v>18</v>
      </c>
      <c r="I3">
        <v>50</v>
      </c>
    </row>
    <row r="4" spans="1:9" x14ac:dyDescent="0.25">
      <c r="A4" t="s">
        <v>212</v>
      </c>
      <c r="B4" t="s">
        <v>36</v>
      </c>
      <c r="C4" t="s">
        <v>11</v>
      </c>
      <c r="D4" t="s">
        <v>26</v>
      </c>
      <c r="E4" t="s">
        <v>13</v>
      </c>
      <c r="F4">
        <v>72</v>
      </c>
      <c r="G4">
        <v>56437.97</v>
      </c>
      <c r="H4">
        <v>21</v>
      </c>
      <c r="I4">
        <v>78</v>
      </c>
    </row>
    <row r="5" spans="1:9" x14ac:dyDescent="0.25">
      <c r="A5" t="s">
        <v>211</v>
      </c>
      <c r="B5" t="s">
        <v>36</v>
      </c>
      <c r="C5" t="s">
        <v>28</v>
      </c>
      <c r="D5" t="s">
        <v>23</v>
      </c>
      <c r="E5" t="s">
        <v>13</v>
      </c>
      <c r="F5">
        <v>77</v>
      </c>
      <c r="G5">
        <v>114541.22</v>
      </c>
      <c r="H5">
        <v>25</v>
      </c>
      <c r="I5">
        <v>69</v>
      </c>
    </row>
    <row r="6" spans="1:9" x14ac:dyDescent="0.25">
      <c r="A6" t="s">
        <v>205</v>
      </c>
      <c r="B6" t="s">
        <v>36</v>
      </c>
      <c r="C6" t="s">
        <v>28</v>
      </c>
      <c r="D6" t="s">
        <v>12</v>
      </c>
      <c r="E6" t="s">
        <v>18</v>
      </c>
      <c r="F6">
        <v>82</v>
      </c>
      <c r="G6">
        <v>19213.509999999998</v>
      </c>
      <c r="H6">
        <v>26</v>
      </c>
      <c r="I6">
        <v>96</v>
      </c>
    </row>
    <row r="7" spans="1:9" x14ac:dyDescent="0.25">
      <c r="A7" t="s">
        <v>200</v>
      </c>
      <c r="B7" t="s">
        <v>36</v>
      </c>
      <c r="C7" t="s">
        <v>41</v>
      </c>
      <c r="D7" t="s">
        <v>12</v>
      </c>
      <c r="E7" t="s">
        <v>18</v>
      </c>
      <c r="F7">
        <v>67</v>
      </c>
      <c r="G7">
        <v>49487.73</v>
      </c>
      <c r="H7">
        <v>27</v>
      </c>
      <c r="I7">
        <v>72</v>
      </c>
    </row>
    <row r="8" spans="1:9" x14ac:dyDescent="0.25">
      <c r="A8" t="s">
        <v>194</v>
      </c>
      <c r="B8" t="s">
        <v>36</v>
      </c>
      <c r="C8" t="s">
        <v>41</v>
      </c>
      <c r="D8" t="s">
        <v>32</v>
      </c>
      <c r="E8" t="s">
        <v>29</v>
      </c>
      <c r="F8">
        <v>42</v>
      </c>
      <c r="G8">
        <v>92788.13</v>
      </c>
      <c r="H8">
        <v>4</v>
      </c>
      <c r="I8">
        <v>41</v>
      </c>
    </row>
    <row r="9" spans="1:9" x14ac:dyDescent="0.25">
      <c r="A9" t="s">
        <v>192</v>
      </c>
      <c r="B9" t="s">
        <v>36</v>
      </c>
      <c r="C9" t="s">
        <v>16</v>
      </c>
      <c r="D9" t="s">
        <v>32</v>
      </c>
      <c r="E9" t="s">
        <v>13</v>
      </c>
      <c r="F9">
        <v>87</v>
      </c>
      <c r="G9">
        <v>96532.96</v>
      </c>
      <c r="H9">
        <v>7</v>
      </c>
      <c r="I9">
        <v>93</v>
      </c>
    </row>
    <row r="10" spans="1:9" x14ac:dyDescent="0.25">
      <c r="A10" t="s">
        <v>186</v>
      </c>
      <c r="B10" t="s">
        <v>36</v>
      </c>
      <c r="C10" t="s">
        <v>41</v>
      </c>
      <c r="D10" t="s">
        <v>26</v>
      </c>
      <c r="E10" t="s">
        <v>29</v>
      </c>
      <c r="F10">
        <v>56</v>
      </c>
      <c r="G10">
        <v>139281.34</v>
      </c>
      <c r="H10">
        <v>24</v>
      </c>
      <c r="I10">
        <v>96</v>
      </c>
    </row>
    <row r="11" spans="1:9" x14ac:dyDescent="0.25">
      <c r="A11" t="s">
        <v>185</v>
      </c>
      <c r="B11" t="s">
        <v>36</v>
      </c>
      <c r="C11" t="s">
        <v>16</v>
      </c>
      <c r="D11" t="s">
        <v>26</v>
      </c>
      <c r="E11" t="s">
        <v>29</v>
      </c>
      <c r="F11">
        <v>28</v>
      </c>
      <c r="G11">
        <v>136392.39000000001</v>
      </c>
      <c r="H11">
        <v>22</v>
      </c>
      <c r="I11">
        <v>77</v>
      </c>
    </row>
    <row r="12" spans="1:9" x14ac:dyDescent="0.25">
      <c r="A12" t="s">
        <v>35</v>
      </c>
      <c r="B12" t="s">
        <v>36</v>
      </c>
      <c r="C12" t="s">
        <v>16</v>
      </c>
      <c r="D12" t="s">
        <v>23</v>
      </c>
      <c r="E12" t="s">
        <v>13</v>
      </c>
      <c r="F12">
        <v>24</v>
      </c>
      <c r="G12">
        <v>135883.74</v>
      </c>
      <c r="H12">
        <v>15</v>
      </c>
      <c r="I12">
        <v>54</v>
      </c>
    </row>
    <row r="13" spans="1:9" x14ac:dyDescent="0.25">
      <c r="A13" t="s">
        <v>174</v>
      </c>
      <c r="B13" t="s">
        <v>36</v>
      </c>
      <c r="C13" t="s">
        <v>16</v>
      </c>
      <c r="D13" t="s">
        <v>17</v>
      </c>
      <c r="E13" t="s">
        <v>29</v>
      </c>
      <c r="F13">
        <v>34</v>
      </c>
      <c r="G13">
        <v>139264.72</v>
      </c>
      <c r="H13">
        <v>14</v>
      </c>
      <c r="I13">
        <v>72</v>
      </c>
    </row>
    <row r="14" spans="1:9" x14ac:dyDescent="0.25">
      <c r="A14" t="s">
        <v>173</v>
      </c>
      <c r="B14" t="s">
        <v>36</v>
      </c>
      <c r="C14" t="s">
        <v>11</v>
      </c>
      <c r="D14" t="s">
        <v>26</v>
      </c>
      <c r="E14" t="s">
        <v>18</v>
      </c>
      <c r="F14">
        <v>61</v>
      </c>
      <c r="G14">
        <v>32781.94</v>
      </c>
      <c r="H14">
        <v>1</v>
      </c>
      <c r="I14">
        <v>83</v>
      </c>
    </row>
    <row r="15" spans="1:9" x14ac:dyDescent="0.25">
      <c r="A15" t="s">
        <v>160</v>
      </c>
      <c r="B15" t="s">
        <v>36</v>
      </c>
      <c r="C15" t="s">
        <v>41</v>
      </c>
      <c r="D15" t="s">
        <v>32</v>
      </c>
      <c r="E15" t="s">
        <v>18</v>
      </c>
      <c r="F15">
        <v>7</v>
      </c>
      <c r="G15">
        <v>59235.13</v>
      </c>
      <c r="H15">
        <v>12</v>
      </c>
      <c r="I15">
        <v>42</v>
      </c>
    </row>
    <row r="16" spans="1:9" x14ac:dyDescent="0.25">
      <c r="A16" t="s">
        <v>150</v>
      </c>
      <c r="B16" t="s">
        <v>36</v>
      </c>
      <c r="C16" t="s">
        <v>11</v>
      </c>
      <c r="D16" t="s">
        <v>26</v>
      </c>
      <c r="E16" t="s">
        <v>13</v>
      </c>
      <c r="F16">
        <v>3</v>
      </c>
      <c r="G16">
        <v>46506.94</v>
      </c>
      <c r="H16">
        <v>9</v>
      </c>
      <c r="I16">
        <v>72</v>
      </c>
    </row>
    <row r="17" spans="1:9" x14ac:dyDescent="0.25">
      <c r="A17" t="s">
        <v>145</v>
      </c>
      <c r="B17" t="s">
        <v>36</v>
      </c>
      <c r="C17" t="s">
        <v>41</v>
      </c>
      <c r="D17" t="s">
        <v>23</v>
      </c>
      <c r="E17" t="s">
        <v>13</v>
      </c>
      <c r="F17">
        <v>81</v>
      </c>
      <c r="G17">
        <v>135711.26999999999</v>
      </c>
      <c r="H17">
        <v>14</v>
      </c>
      <c r="I17">
        <v>99</v>
      </c>
    </row>
    <row r="18" spans="1:9" x14ac:dyDescent="0.25">
      <c r="A18" t="s">
        <v>129</v>
      </c>
      <c r="B18" t="s">
        <v>36</v>
      </c>
      <c r="C18" t="s">
        <v>41</v>
      </c>
      <c r="D18" t="s">
        <v>12</v>
      </c>
      <c r="E18" t="s">
        <v>13</v>
      </c>
      <c r="F18">
        <v>6</v>
      </c>
      <c r="G18">
        <v>77311.77</v>
      </c>
      <c r="H18">
        <v>19</v>
      </c>
      <c r="I18">
        <v>90</v>
      </c>
    </row>
    <row r="19" spans="1:9" x14ac:dyDescent="0.25">
      <c r="A19" t="s">
        <v>44</v>
      </c>
      <c r="B19" t="s">
        <v>36</v>
      </c>
      <c r="C19" t="s">
        <v>11</v>
      </c>
      <c r="D19" t="s">
        <v>23</v>
      </c>
      <c r="E19" t="s">
        <v>18</v>
      </c>
      <c r="F19">
        <v>25</v>
      </c>
      <c r="G19">
        <v>142574.53</v>
      </c>
      <c r="H19">
        <v>30</v>
      </c>
      <c r="I19">
        <v>99</v>
      </c>
    </row>
    <row r="20" spans="1:9" x14ac:dyDescent="0.25">
      <c r="A20" t="s">
        <v>126</v>
      </c>
      <c r="B20" t="s">
        <v>36</v>
      </c>
      <c r="C20" t="s">
        <v>11</v>
      </c>
      <c r="D20" t="s">
        <v>23</v>
      </c>
      <c r="E20" t="s">
        <v>13</v>
      </c>
      <c r="F20">
        <v>30</v>
      </c>
      <c r="G20">
        <v>115395.67</v>
      </c>
      <c r="H20">
        <v>11</v>
      </c>
      <c r="I20">
        <v>74</v>
      </c>
    </row>
    <row r="21" spans="1:9" x14ac:dyDescent="0.25">
      <c r="A21" t="s">
        <v>119</v>
      </c>
      <c r="B21" t="s">
        <v>36</v>
      </c>
      <c r="C21" t="s">
        <v>28</v>
      </c>
      <c r="D21" t="s">
        <v>23</v>
      </c>
      <c r="E21" t="s">
        <v>29</v>
      </c>
      <c r="F21">
        <v>1</v>
      </c>
      <c r="G21">
        <v>146289.26999999999</v>
      </c>
      <c r="H21">
        <v>17</v>
      </c>
      <c r="I21">
        <v>47</v>
      </c>
    </row>
    <row r="22" spans="1:9" x14ac:dyDescent="0.25">
      <c r="A22" t="s">
        <v>115</v>
      </c>
      <c r="B22" t="s">
        <v>36</v>
      </c>
      <c r="C22" t="s">
        <v>11</v>
      </c>
      <c r="D22" t="s">
        <v>17</v>
      </c>
      <c r="E22" t="s">
        <v>18</v>
      </c>
      <c r="F22">
        <v>7</v>
      </c>
      <c r="G22">
        <v>22311.39</v>
      </c>
      <c r="H22">
        <v>14</v>
      </c>
      <c r="I22">
        <v>86</v>
      </c>
    </row>
    <row r="23" spans="1:9" x14ac:dyDescent="0.25">
      <c r="A23" t="s">
        <v>48</v>
      </c>
      <c r="B23" t="s">
        <v>36</v>
      </c>
      <c r="C23" t="s">
        <v>11</v>
      </c>
      <c r="D23" t="s">
        <v>26</v>
      </c>
      <c r="E23" t="s">
        <v>18</v>
      </c>
      <c r="F23">
        <v>66</v>
      </c>
      <c r="G23">
        <v>30547.73</v>
      </c>
      <c r="H23">
        <v>11</v>
      </c>
      <c r="I23">
        <v>47</v>
      </c>
    </row>
    <row r="24" spans="1:9" x14ac:dyDescent="0.25">
      <c r="A24" t="s">
        <v>112</v>
      </c>
      <c r="B24" t="s">
        <v>36</v>
      </c>
      <c r="C24" t="s">
        <v>16</v>
      </c>
      <c r="D24" t="s">
        <v>26</v>
      </c>
      <c r="E24" t="s">
        <v>29</v>
      </c>
      <c r="F24">
        <v>63</v>
      </c>
      <c r="G24">
        <v>82657.039999999994</v>
      </c>
      <c r="H24">
        <v>4</v>
      </c>
      <c r="I24">
        <v>55</v>
      </c>
    </row>
    <row r="25" spans="1:9" x14ac:dyDescent="0.25">
      <c r="A25" t="s">
        <v>50</v>
      </c>
      <c r="B25" t="s">
        <v>36</v>
      </c>
      <c r="C25" t="s">
        <v>11</v>
      </c>
      <c r="D25" t="s">
        <v>32</v>
      </c>
      <c r="E25" t="s">
        <v>29</v>
      </c>
      <c r="F25">
        <v>75</v>
      </c>
      <c r="G25">
        <v>89887.05</v>
      </c>
      <c r="H25">
        <v>28</v>
      </c>
      <c r="I25">
        <v>92</v>
      </c>
    </row>
    <row r="26" spans="1:9" x14ac:dyDescent="0.25">
      <c r="A26" t="s">
        <v>106</v>
      </c>
      <c r="B26" t="s">
        <v>36</v>
      </c>
      <c r="C26" t="s">
        <v>11</v>
      </c>
      <c r="D26" t="s">
        <v>32</v>
      </c>
      <c r="E26" t="s">
        <v>29</v>
      </c>
      <c r="F26">
        <v>12</v>
      </c>
      <c r="G26">
        <v>69472.05</v>
      </c>
      <c r="H26">
        <v>11</v>
      </c>
      <c r="I26">
        <v>68</v>
      </c>
    </row>
    <row r="27" spans="1:9" x14ac:dyDescent="0.25">
      <c r="A27" t="s">
        <v>105</v>
      </c>
      <c r="B27" t="s">
        <v>36</v>
      </c>
      <c r="C27" t="s">
        <v>41</v>
      </c>
      <c r="D27" t="s">
        <v>12</v>
      </c>
      <c r="E27" t="s">
        <v>29</v>
      </c>
      <c r="F27">
        <v>49</v>
      </c>
      <c r="G27">
        <v>117019.47</v>
      </c>
      <c r="H27">
        <v>28</v>
      </c>
      <c r="I27">
        <v>63</v>
      </c>
    </row>
    <row r="28" spans="1:9" x14ac:dyDescent="0.25">
      <c r="A28" t="s">
        <v>98</v>
      </c>
      <c r="B28" t="s">
        <v>36</v>
      </c>
      <c r="C28" t="s">
        <v>41</v>
      </c>
      <c r="D28" t="s">
        <v>17</v>
      </c>
      <c r="E28" t="s">
        <v>18</v>
      </c>
      <c r="F28">
        <v>6</v>
      </c>
      <c r="G28">
        <v>22175.37</v>
      </c>
      <c r="H28">
        <v>17</v>
      </c>
      <c r="I28">
        <v>82</v>
      </c>
    </row>
    <row r="29" spans="1:9" x14ac:dyDescent="0.25">
      <c r="A29" t="s">
        <v>88</v>
      </c>
      <c r="B29" t="s">
        <v>36</v>
      </c>
      <c r="C29" t="s">
        <v>28</v>
      </c>
      <c r="D29" t="s">
        <v>17</v>
      </c>
      <c r="E29" t="s">
        <v>18</v>
      </c>
      <c r="F29">
        <v>22</v>
      </c>
      <c r="G29">
        <v>133882.43</v>
      </c>
      <c r="H29">
        <v>29</v>
      </c>
      <c r="I29">
        <v>63</v>
      </c>
    </row>
    <row r="30" spans="1:9" x14ac:dyDescent="0.25">
      <c r="A30" t="s">
        <v>74</v>
      </c>
      <c r="B30" t="s">
        <v>36</v>
      </c>
      <c r="C30" t="s">
        <v>28</v>
      </c>
      <c r="D30" t="s">
        <v>26</v>
      </c>
      <c r="E30" t="s">
        <v>18</v>
      </c>
      <c r="F30">
        <v>30</v>
      </c>
      <c r="G30">
        <v>53806.86</v>
      </c>
      <c r="H30">
        <v>21</v>
      </c>
      <c r="I30">
        <v>82</v>
      </c>
    </row>
    <row r="31" spans="1:9" x14ac:dyDescent="0.25">
      <c r="A31" t="s">
        <v>73</v>
      </c>
      <c r="B31" t="s">
        <v>36</v>
      </c>
      <c r="C31" t="s">
        <v>11</v>
      </c>
      <c r="D31" t="s">
        <v>32</v>
      </c>
      <c r="E31" t="s">
        <v>18</v>
      </c>
      <c r="F31">
        <v>37</v>
      </c>
      <c r="G31">
        <v>77556.53</v>
      </c>
      <c r="H31">
        <v>24</v>
      </c>
      <c r="I31">
        <v>87</v>
      </c>
    </row>
    <row r="32" spans="1:9" x14ac:dyDescent="0.25">
      <c r="A32" t="s">
        <v>57</v>
      </c>
      <c r="B32" t="s">
        <v>36</v>
      </c>
      <c r="C32" t="s">
        <v>16</v>
      </c>
      <c r="D32" t="s">
        <v>12</v>
      </c>
      <c r="E32" t="s">
        <v>18</v>
      </c>
      <c r="F32">
        <v>79</v>
      </c>
      <c r="G32">
        <v>140415.63</v>
      </c>
      <c r="H32">
        <v>16</v>
      </c>
      <c r="I32">
        <v>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9"/>
  <sheetViews>
    <sheetView workbookViewId="0">
      <selection sqref="A1:I39"/>
    </sheetView>
  </sheetViews>
  <sheetFormatPr defaultRowHeight="15" x14ac:dyDescent="0.25"/>
  <cols>
    <col min="1" max="1" width="11.85546875" customWidth="1"/>
    <col min="2" max="2" width="13.85546875" customWidth="1"/>
    <col min="3" max="3" width="17.140625" customWidth="1"/>
    <col min="4" max="4" width="14.7109375" customWidth="1"/>
    <col min="5" max="5" width="9.85546875" customWidth="1"/>
    <col min="7" max="7" width="16.7109375" customWidth="1"/>
    <col min="8" max="8" width="20.5703125" customWidth="1"/>
    <col min="9" max="9" width="16.5703125" customWidth="1"/>
  </cols>
  <sheetData>
    <row r="1" spans="1:9" x14ac:dyDescent="0.25">
      <c r="A1" t="s">
        <v>0</v>
      </c>
      <c r="B1" t="s">
        <v>1</v>
      </c>
      <c r="C1" t="s">
        <v>2</v>
      </c>
      <c r="D1" t="s">
        <v>3</v>
      </c>
      <c r="E1" t="s">
        <v>4</v>
      </c>
      <c r="F1" t="s">
        <v>5</v>
      </c>
      <c r="G1" t="s">
        <v>6</v>
      </c>
      <c r="H1" t="s">
        <v>7</v>
      </c>
      <c r="I1" t="s">
        <v>8</v>
      </c>
    </row>
    <row r="2" spans="1:9" x14ac:dyDescent="0.25">
      <c r="A2" t="s">
        <v>216</v>
      </c>
      <c r="B2" t="s">
        <v>15</v>
      </c>
      <c r="C2" t="s">
        <v>16</v>
      </c>
      <c r="D2" t="s">
        <v>32</v>
      </c>
      <c r="E2" t="s">
        <v>13</v>
      </c>
      <c r="F2">
        <v>70</v>
      </c>
      <c r="G2">
        <v>92629.07</v>
      </c>
      <c r="H2">
        <v>11</v>
      </c>
      <c r="I2">
        <v>96</v>
      </c>
    </row>
    <row r="3" spans="1:9" x14ac:dyDescent="0.25">
      <c r="A3" t="s">
        <v>14</v>
      </c>
      <c r="B3" t="s">
        <v>15</v>
      </c>
      <c r="C3" t="s">
        <v>16</v>
      </c>
      <c r="D3" t="s">
        <v>17</v>
      </c>
      <c r="E3" t="s">
        <v>18</v>
      </c>
      <c r="F3">
        <v>52</v>
      </c>
      <c r="G3">
        <v>10231.42</v>
      </c>
      <c r="H3">
        <v>20</v>
      </c>
      <c r="I3">
        <v>42</v>
      </c>
    </row>
    <row r="4" spans="1:9" x14ac:dyDescent="0.25">
      <c r="A4" t="s">
        <v>19</v>
      </c>
      <c r="B4" t="s">
        <v>15</v>
      </c>
      <c r="C4" t="s">
        <v>11</v>
      </c>
      <c r="D4" t="s">
        <v>12</v>
      </c>
      <c r="E4" t="s">
        <v>18</v>
      </c>
      <c r="F4">
        <v>79</v>
      </c>
      <c r="G4">
        <v>10160.24</v>
      </c>
      <c r="H4">
        <v>2</v>
      </c>
      <c r="I4">
        <v>72</v>
      </c>
    </row>
    <row r="5" spans="1:9" x14ac:dyDescent="0.25">
      <c r="A5" t="s">
        <v>20</v>
      </c>
      <c r="B5" t="s">
        <v>15</v>
      </c>
      <c r="C5" t="s">
        <v>11</v>
      </c>
      <c r="D5" t="s">
        <v>12</v>
      </c>
      <c r="E5" t="s">
        <v>13</v>
      </c>
      <c r="F5">
        <v>23</v>
      </c>
      <c r="G5">
        <v>103508.96</v>
      </c>
      <c r="H5">
        <v>20</v>
      </c>
      <c r="I5">
        <v>50</v>
      </c>
    </row>
    <row r="6" spans="1:9" x14ac:dyDescent="0.25">
      <c r="A6" t="s">
        <v>215</v>
      </c>
      <c r="B6" t="s">
        <v>15</v>
      </c>
      <c r="C6" t="s">
        <v>28</v>
      </c>
      <c r="D6" t="s">
        <v>23</v>
      </c>
      <c r="E6" t="s">
        <v>18</v>
      </c>
      <c r="F6">
        <v>38</v>
      </c>
      <c r="G6">
        <v>54960.36</v>
      </c>
      <c r="H6">
        <v>26</v>
      </c>
      <c r="I6">
        <v>61</v>
      </c>
    </row>
    <row r="7" spans="1:9" x14ac:dyDescent="0.25">
      <c r="A7" t="s">
        <v>208</v>
      </c>
      <c r="B7" t="s">
        <v>15</v>
      </c>
      <c r="C7" t="s">
        <v>28</v>
      </c>
      <c r="D7" t="s">
        <v>23</v>
      </c>
      <c r="E7" t="s">
        <v>18</v>
      </c>
      <c r="F7">
        <v>5</v>
      </c>
      <c r="G7">
        <v>52772.62</v>
      </c>
      <c r="H7">
        <v>9</v>
      </c>
      <c r="I7">
        <v>62</v>
      </c>
    </row>
    <row r="8" spans="1:9" x14ac:dyDescent="0.25">
      <c r="A8" t="s">
        <v>195</v>
      </c>
      <c r="B8" t="s">
        <v>15</v>
      </c>
      <c r="C8" t="s">
        <v>11</v>
      </c>
      <c r="D8" t="s">
        <v>26</v>
      </c>
      <c r="E8" t="s">
        <v>18</v>
      </c>
      <c r="F8">
        <v>36</v>
      </c>
      <c r="G8">
        <v>24614.639999999999</v>
      </c>
      <c r="H8">
        <v>30</v>
      </c>
      <c r="I8">
        <v>57</v>
      </c>
    </row>
    <row r="9" spans="1:9" x14ac:dyDescent="0.25">
      <c r="A9" t="s">
        <v>193</v>
      </c>
      <c r="B9" t="s">
        <v>15</v>
      </c>
      <c r="C9" t="s">
        <v>41</v>
      </c>
      <c r="D9" t="s">
        <v>32</v>
      </c>
      <c r="E9" t="s">
        <v>29</v>
      </c>
      <c r="F9">
        <v>49</v>
      </c>
      <c r="G9">
        <v>126056.09</v>
      </c>
      <c r="H9">
        <v>11</v>
      </c>
      <c r="I9">
        <v>78</v>
      </c>
    </row>
    <row r="10" spans="1:9" x14ac:dyDescent="0.25">
      <c r="A10" t="s">
        <v>191</v>
      </c>
      <c r="B10" t="s">
        <v>15</v>
      </c>
      <c r="C10" t="s">
        <v>41</v>
      </c>
      <c r="D10" t="s">
        <v>32</v>
      </c>
      <c r="E10" t="s">
        <v>18</v>
      </c>
      <c r="F10">
        <v>48</v>
      </c>
      <c r="G10">
        <v>10911.55</v>
      </c>
      <c r="H10">
        <v>19</v>
      </c>
      <c r="I10">
        <v>47</v>
      </c>
    </row>
    <row r="11" spans="1:9" x14ac:dyDescent="0.25">
      <c r="A11" t="s">
        <v>34</v>
      </c>
      <c r="B11" t="s">
        <v>15</v>
      </c>
      <c r="C11" t="s">
        <v>16</v>
      </c>
      <c r="D11" t="s">
        <v>23</v>
      </c>
      <c r="E11" t="s">
        <v>29</v>
      </c>
      <c r="F11">
        <v>56</v>
      </c>
      <c r="G11">
        <v>116558.38</v>
      </c>
      <c r="H11">
        <v>24</v>
      </c>
      <c r="I11">
        <v>48</v>
      </c>
    </row>
    <row r="12" spans="1:9" x14ac:dyDescent="0.25">
      <c r="A12" t="s">
        <v>187</v>
      </c>
      <c r="B12" t="s">
        <v>15</v>
      </c>
      <c r="C12" t="s">
        <v>11</v>
      </c>
      <c r="D12" t="s">
        <v>26</v>
      </c>
      <c r="E12" t="s">
        <v>18</v>
      </c>
      <c r="F12">
        <v>80</v>
      </c>
      <c r="G12">
        <v>140818.37</v>
      </c>
      <c r="H12">
        <v>9</v>
      </c>
      <c r="I12">
        <v>42</v>
      </c>
    </row>
    <row r="13" spans="1:9" x14ac:dyDescent="0.25">
      <c r="A13" t="s">
        <v>37</v>
      </c>
      <c r="B13" t="s">
        <v>15</v>
      </c>
      <c r="C13" t="s">
        <v>28</v>
      </c>
      <c r="D13" t="s">
        <v>17</v>
      </c>
      <c r="E13" t="s">
        <v>13</v>
      </c>
      <c r="F13">
        <v>62</v>
      </c>
      <c r="G13">
        <v>148179.98000000001</v>
      </c>
      <c r="H13">
        <v>11</v>
      </c>
      <c r="I13">
        <v>87</v>
      </c>
    </row>
    <row r="14" spans="1:9" x14ac:dyDescent="0.25">
      <c r="A14" t="s">
        <v>183</v>
      </c>
      <c r="B14" t="s">
        <v>15</v>
      </c>
      <c r="C14" t="s">
        <v>28</v>
      </c>
      <c r="D14" t="s">
        <v>23</v>
      </c>
      <c r="E14" t="s">
        <v>18</v>
      </c>
      <c r="F14">
        <v>6</v>
      </c>
      <c r="G14">
        <v>116568.72</v>
      </c>
      <c r="H14">
        <v>24</v>
      </c>
      <c r="I14">
        <v>65</v>
      </c>
    </row>
    <row r="15" spans="1:9" x14ac:dyDescent="0.25">
      <c r="A15" t="s">
        <v>175</v>
      </c>
      <c r="B15" t="s">
        <v>15</v>
      </c>
      <c r="C15" t="s">
        <v>11</v>
      </c>
      <c r="D15" t="s">
        <v>32</v>
      </c>
      <c r="E15" t="s">
        <v>13</v>
      </c>
      <c r="F15">
        <v>78</v>
      </c>
      <c r="G15">
        <v>15165.98</v>
      </c>
      <c r="H15">
        <v>25</v>
      </c>
      <c r="I15">
        <v>86</v>
      </c>
    </row>
    <row r="16" spans="1:9" x14ac:dyDescent="0.25">
      <c r="A16" t="s">
        <v>169</v>
      </c>
      <c r="B16" t="s">
        <v>15</v>
      </c>
      <c r="C16" t="s">
        <v>41</v>
      </c>
      <c r="D16" t="s">
        <v>32</v>
      </c>
      <c r="E16" t="s">
        <v>13</v>
      </c>
      <c r="F16">
        <v>57</v>
      </c>
      <c r="G16">
        <v>121600.57</v>
      </c>
      <c r="H16">
        <v>19</v>
      </c>
      <c r="I16">
        <v>94</v>
      </c>
    </row>
    <row r="17" spans="1:9" x14ac:dyDescent="0.25">
      <c r="A17" t="s">
        <v>163</v>
      </c>
      <c r="B17" t="s">
        <v>15</v>
      </c>
      <c r="C17" t="s">
        <v>28</v>
      </c>
      <c r="D17" t="s">
        <v>17</v>
      </c>
      <c r="E17" t="s">
        <v>29</v>
      </c>
      <c r="F17">
        <v>27</v>
      </c>
      <c r="G17">
        <v>79666.86</v>
      </c>
      <c r="H17">
        <v>16</v>
      </c>
      <c r="I17">
        <v>85</v>
      </c>
    </row>
    <row r="18" spans="1:9" x14ac:dyDescent="0.25">
      <c r="A18" t="s">
        <v>155</v>
      </c>
      <c r="B18" t="s">
        <v>15</v>
      </c>
      <c r="C18" t="s">
        <v>41</v>
      </c>
      <c r="D18" t="s">
        <v>32</v>
      </c>
      <c r="E18" t="s">
        <v>13</v>
      </c>
      <c r="F18">
        <v>73</v>
      </c>
      <c r="G18">
        <v>148956.56</v>
      </c>
      <c r="H18">
        <v>6</v>
      </c>
      <c r="I18">
        <v>100</v>
      </c>
    </row>
    <row r="19" spans="1:9" x14ac:dyDescent="0.25">
      <c r="A19" t="s">
        <v>153</v>
      </c>
      <c r="B19" t="s">
        <v>15</v>
      </c>
      <c r="C19" t="s">
        <v>41</v>
      </c>
      <c r="D19" t="s">
        <v>23</v>
      </c>
      <c r="E19" t="s">
        <v>18</v>
      </c>
      <c r="F19">
        <v>88</v>
      </c>
      <c r="G19">
        <v>50993.47</v>
      </c>
      <c r="H19">
        <v>4</v>
      </c>
      <c r="I19">
        <v>82</v>
      </c>
    </row>
    <row r="20" spans="1:9" x14ac:dyDescent="0.25">
      <c r="A20" t="s">
        <v>45</v>
      </c>
      <c r="B20" t="s">
        <v>15</v>
      </c>
      <c r="C20" t="s">
        <v>41</v>
      </c>
      <c r="D20" t="s">
        <v>23</v>
      </c>
      <c r="E20" t="s">
        <v>18</v>
      </c>
      <c r="F20">
        <v>1</v>
      </c>
      <c r="G20">
        <v>43174.44</v>
      </c>
      <c r="H20">
        <v>24</v>
      </c>
      <c r="I20">
        <v>100</v>
      </c>
    </row>
    <row r="21" spans="1:9" x14ac:dyDescent="0.25">
      <c r="A21" t="s">
        <v>149</v>
      </c>
      <c r="B21" t="s">
        <v>15</v>
      </c>
      <c r="C21" t="s">
        <v>28</v>
      </c>
      <c r="D21" t="s">
        <v>26</v>
      </c>
      <c r="E21" t="s">
        <v>13</v>
      </c>
      <c r="F21">
        <v>30</v>
      </c>
      <c r="G21">
        <v>91267.91</v>
      </c>
      <c r="H21">
        <v>17</v>
      </c>
      <c r="I21">
        <v>76</v>
      </c>
    </row>
    <row r="22" spans="1:9" x14ac:dyDescent="0.25">
      <c r="A22" t="s">
        <v>47</v>
      </c>
      <c r="B22" t="s">
        <v>15</v>
      </c>
      <c r="C22" t="s">
        <v>11</v>
      </c>
      <c r="D22" t="s">
        <v>26</v>
      </c>
      <c r="E22" t="s">
        <v>18</v>
      </c>
      <c r="F22">
        <v>31</v>
      </c>
      <c r="G22">
        <v>51842.34</v>
      </c>
      <c r="H22">
        <v>15</v>
      </c>
      <c r="I22">
        <v>74</v>
      </c>
    </row>
    <row r="23" spans="1:9" x14ac:dyDescent="0.25">
      <c r="A23" t="s">
        <v>146</v>
      </c>
      <c r="B23" t="s">
        <v>15</v>
      </c>
      <c r="C23" t="s">
        <v>16</v>
      </c>
      <c r="D23" t="s">
        <v>23</v>
      </c>
      <c r="E23" t="s">
        <v>13</v>
      </c>
      <c r="F23">
        <v>48</v>
      </c>
      <c r="G23">
        <v>117464.18</v>
      </c>
      <c r="H23">
        <v>2</v>
      </c>
      <c r="I23">
        <v>61</v>
      </c>
    </row>
    <row r="24" spans="1:9" x14ac:dyDescent="0.25">
      <c r="A24" t="s">
        <v>134</v>
      </c>
      <c r="B24" t="s">
        <v>15</v>
      </c>
      <c r="C24" t="s">
        <v>16</v>
      </c>
      <c r="D24" t="s">
        <v>17</v>
      </c>
      <c r="E24" t="s">
        <v>29</v>
      </c>
      <c r="F24">
        <v>62</v>
      </c>
      <c r="G24">
        <v>34938.57</v>
      </c>
      <c r="H24">
        <v>8</v>
      </c>
      <c r="I24">
        <v>70</v>
      </c>
    </row>
    <row r="25" spans="1:9" x14ac:dyDescent="0.25">
      <c r="A25" t="s">
        <v>131</v>
      </c>
      <c r="B25" t="s">
        <v>15</v>
      </c>
      <c r="C25" t="s">
        <v>28</v>
      </c>
      <c r="D25" t="s">
        <v>26</v>
      </c>
      <c r="E25" t="s">
        <v>13</v>
      </c>
      <c r="F25">
        <v>52</v>
      </c>
      <c r="G25">
        <v>97685.72</v>
      </c>
      <c r="H25">
        <v>28</v>
      </c>
      <c r="I25">
        <v>59</v>
      </c>
    </row>
    <row r="26" spans="1:9" x14ac:dyDescent="0.25">
      <c r="A26" t="s">
        <v>51</v>
      </c>
      <c r="B26" t="s">
        <v>15</v>
      </c>
      <c r="C26" t="s">
        <v>16</v>
      </c>
      <c r="D26" t="s">
        <v>12</v>
      </c>
      <c r="E26" t="s">
        <v>18</v>
      </c>
      <c r="F26">
        <v>35</v>
      </c>
      <c r="G26">
        <v>54350.5</v>
      </c>
      <c r="H26">
        <v>24</v>
      </c>
      <c r="I26">
        <v>70</v>
      </c>
    </row>
    <row r="27" spans="1:9" x14ac:dyDescent="0.25">
      <c r="A27" t="s">
        <v>124</v>
      </c>
      <c r="B27" t="s">
        <v>15</v>
      </c>
      <c r="C27" t="s">
        <v>11</v>
      </c>
      <c r="D27" t="s">
        <v>12</v>
      </c>
      <c r="E27" t="s">
        <v>29</v>
      </c>
      <c r="F27">
        <v>35</v>
      </c>
      <c r="G27">
        <v>85523.17</v>
      </c>
      <c r="H27">
        <v>30</v>
      </c>
      <c r="I27">
        <v>90</v>
      </c>
    </row>
    <row r="28" spans="1:9" x14ac:dyDescent="0.25">
      <c r="A28" t="s">
        <v>118</v>
      </c>
      <c r="B28" t="s">
        <v>15</v>
      </c>
      <c r="C28" t="s">
        <v>11</v>
      </c>
      <c r="D28" t="s">
        <v>17</v>
      </c>
      <c r="E28" t="s">
        <v>29</v>
      </c>
      <c r="F28">
        <v>66</v>
      </c>
      <c r="G28">
        <v>54562.1</v>
      </c>
      <c r="H28">
        <v>21</v>
      </c>
      <c r="I28">
        <v>86</v>
      </c>
    </row>
    <row r="29" spans="1:9" x14ac:dyDescent="0.25">
      <c r="A29" t="s">
        <v>114</v>
      </c>
      <c r="B29" t="s">
        <v>15</v>
      </c>
      <c r="C29" t="s">
        <v>41</v>
      </c>
      <c r="D29" t="s">
        <v>12</v>
      </c>
      <c r="E29" t="s">
        <v>18</v>
      </c>
      <c r="F29">
        <v>37</v>
      </c>
      <c r="G29">
        <v>8578.83</v>
      </c>
      <c r="H29">
        <v>2</v>
      </c>
      <c r="I29">
        <v>90</v>
      </c>
    </row>
    <row r="30" spans="1:9" x14ac:dyDescent="0.25">
      <c r="A30" t="s">
        <v>113</v>
      </c>
      <c r="B30" t="s">
        <v>15</v>
      </c>
      <c r="C30" t="s">
        <v>16</v>
      </c>
      <c r="D30" t="s">
        <v>17</v>
      </c>
      <c r="E30" t="s">
        <v>29</v>
      </c>
      <c r="F30">
        <v>1</v>
      </c>
      <c r="G30">
        <v>16874.009999999998</v>
      </c>
      <c r="H30">
        <v>14</v>
      </c>
      <c r="I30">
        <v>76</v>
      </c>
    </row>
    <row r="31" spans="1:9" x14ac:dyDescent="0.25">
      <c r="A31" t="s">
        <v>111</v>
      </c>
      <c r="B31" t="s">
        <v>15</v>
      </c>
      <c r="C31" t="s">
        <v>16</v>
      </c>
      <c r="D31" t="s">
        <v>17</v>
      </c>
      <c r="E31" t="s">
        <v>29</v>
      </c>
      <c r="F31">
        <v>40</v>
      </c>
      <c r="G31">
        <v>19717.900000000001</v>
      </c>
      <c r="H31">
        <v>20</v>
      </c>
      <c r="I31">
        <v>63</v>
      </c>
    </row>
    <row r="32" spans="1:9" x14ac:dyDescent="0.25">
      <c r="A32" t="s">
        <v>85</v>
      </c>
      <c r="B32" t="s">
        <v>15</v>
      </c>
      <c r="C32" t="s">
        <v>28</v>
      </c>
      <c r="D32" t="s">
        <v>17</v>
      </c>
      <c r="E32" t="s">
        <v>18</v>
      </c>
      <c r="F32">
        <v>75</v>
      </c>
      <c r="G32">
        <v>79671.37</v>
      </c>
      <c r="H32">
        <v>30</v>
      </c>
      <c r="I32">
        <v>43</v>
      </c>
    </row>
    <row r="33" spans="1:9" x14ac:dyDescent="0.25">
      <c r="A33" t="s">
        <v>83</v>
      </c>
      <c r="B33" t="s">
        <v>15</v>
      </c>
      <c r="C33" t="s">
        <v>11</v>
      </c>
      <c r="D33" t="s">
        <v>12</v>
      </c>
      <c r="E33" t="s">
        <v>18</v>
      </c>
      <c r="F33">
        <v>7</v>
      </c>
      <c r="G33">
        <v>127110.45</v>
      </c>
      <c r="H33">
        <v>30</v>
      </c>
      <c r="I33">
        <v>100</v>
      </c>
    </row>
    <row r="34" spans="1:9" x14ac:dyDescent="0.25">
      <c r="A34" t="s">
        <v>75</v>
      </c>
      <c r="B34" t="s">
        <v>15</v>
      </c>
      <c r="C34" t="s">
        <v>41</v>
      </c>
      <c r="D34" t="s">
        <v>12</v>
      </c>
      <c r="E34" t="s">
        <v>18</v>
      </c>
      <c r="F34">
        <v>66</v>
      </c>
      <c r="G34">
        <v>84096.91</v>
      </c>
      <c r="H34">
        <v>18</v>
      </c>
      <c r="I34">
        <v>91</v>
      </c>
    </row>
    <row r="35" spans="1:9" x14ac:dyDescent="0.25">
      <c r="A35" t="s">
        <v>70</v>
      </c>
      <c r="B35" t="s">
        <v>15</v>
      </c>
      <c r="C35" t="s">
        <v>28</v>
      </c>
      <c r="D35" t="s">
        <v>23</v>
      </c>
      <c r="E35" t="s">
        <v>18</v>
      </c>
      <c r="F35">
        <v>62</v>
      </c>
      <c r="G35">
        <v>149340.16</v>
      </c>
      <c r="H35">
        <v>18</v>
      </c>
      <c r="I35">
        <v>49</v>
      </c>
    </row>
    <row r="36" spans="1:9" x14ac:dyDescent="0.25">
      <c r="A36" t="s">
        <v>67</v>
      </c>
      <c r="B36" t="s">
        <v>15</v>
      </c>
      <c r="C36" t="s">
        <v>28</v>
      </c>
      <c r="D36" t="s">
        <v>23</v>
      </c>
      <c r="E36" t="s">
        <v>18</v>
      </c>
      <c r="F36">
        <v>31</v>
      </c>
      <c r="G36">
        <v>113414.83</v>
      </c>
      <c r="H36">
        <v>8</v>
      </c>
      <c r="I36">
        <v>70</v>
      </c>
    </row>
    <row r="37" spans="1:9" x14ac:dyDescent="0.25">
      <c r="A37" t="s">
        <v>66</v>
      </c>
      <c r="B37" t="s">
        <v>15</v>
      </c>
      <c r="C37" t="s">
        <v>41</v>
      </c>
      <c r="D37" t="s">
        <v>23</v>
      </c>
      <c r="E37" t="s">
        <v>18</v>
      </c>
      <c r="F37">
        <v>14</v>
      </c>
      <c r="G37">
        <v>9067.3799999999992</v>
      </c>
      <c r="H37">
        <v>28</v>
      </c>
      <c r="I37">
        <v>86</v>
      </c>
    </row>
    <row r="38" spans="1:9" x14ac:dyDescent="0.25">
      <c r="A38" t="s">
        <v>63</v>
      </c>
      <c r="B38" t="s">
        <v>15</v>
      </c>
      <c r="C38" t="s">
        <v>11</v>
      </c>
      <c r="D38" t="s">
        <v>17</v>
      </c>
      <c r="E38" t="s">
        <v>13</v>
      </c>
      <c r="F38">
        <v>41</v>
      </c>
      <c r="G38">
        <v>143381.07</v>
      </c>
      <c r="H38">
        <v>1</v>
      </c>
      <c r="I38">
        <v>87</v>
      </c>
    </row>
    <row r="39" spans="1:9" x14ac:dyDescent="0.25">
      <c r="A39" t="s">
        <v>64</v>
      </c>
      <c r="B39" t="s">
        <v>15</v>
      </c>
      <c r="C39" t="s">
        <v>11</v>
      </c>
      <c r="D39" t="s">
        <v>17</v>
      </c>
      <c r="E39" t="s">
        <v>18</v>
      </c>
      <c r="F39">
        <v>3</v>
      </c>
      <c r="G39">
        <v>50045.440000000002</v>
      </c>
      <c r="H39">
        <v>15</v>
      </c>
      <c r="I39">
        <v>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01"/>
  <sheetViews>
    <sheetView topLeftCell="A2" workbookViewId="0">
      <selection activeCell="I6" sqref="I6"/>
    </sheetView>
  </sheetViews>
  <sheetFormatPr defaultRowHeight="15" x14ac:dyDescent="0.25"/>
  <cols>
    <col min="1" max="1" width="12" bestFit="1" customWidth="1"/>
    <col min="2" max="2" width="16.5703125" bestFit="1" customWidth="1"/>
    <col min="3" max="3" width="17.42578125" bestFit="1" customWidth="1"/>
    <col min="4" max="4" width="14.85546875" bestFit="1" customWidth="1"/>
    <col min="5" max="5" width="10" bestFit="1" customWidth="1"/>
    <col min="6" max="6" width="6.7109375" bestFit="1" customWidth="1"/>
    <col min="7" max="7" width="17" bestFit="1" customWidth="1"/>
    <col min="8" max="8" width="21" bestFit="1" customWidth="1"/>
    <col min="9" max="9" width="16.8554687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v>12</v>
      </c>
      <c r="G2">
        <v>68632.97</v>
      </c>
      <c r="H2">
        <v>21</v>
      </c>
      <c r="I2">
        <v>82</v>
      </c>
    </row>
    <row r="3" spans="1:9" x14ac:dyDescent="0.25">
      <c r="A3" t="s">
        <v>14</v>
      </c>
      <c r="B3" t="s">
        <v>15</v>
      </c>
      <c r="C3" t="s">
        <v>16</v>
      </c>
      <c r="D3" t="s">
        <v>17</v>
      </c>
      <c r="E3" t="s">
        <v>18</v>
      </c>
      <c r="F3">
        <v>52</v>
      </c>
      <c r="G3">
        <v>10231.42</v>
      </c>
      <c r="H3">
        <v>20</v>
      </c>
      <c r="I3">
        <v>42</v>
      </c>
    </row>
    <row r="4" spans="1:9" x14ac:dyDescent="0.25">
      <c r="A4" t="s">
        <v>19</v>
      </c>
      <c r="B4" t="s">
        <v>15</v>
      </c>
      <c r="C4" t="s">
        <v>11</v>
      </c>
      <c r="D4" t="s">
        <v>12</v>
      </c>
      <c r="E4" t="s">
        <v>18</v>
      </c>
      <c r="F4">
        <v>79</v>
      </c>
      <c r="G4">
        <v>10160.24</v>
      </c>
      <c r="H4">
        <v>2</v>
      </c>
      <c r="I4">
        <v>72</v>
      </c>
    </row>
    <row r="5" spans="1:9" x14ac:dyDescent="0.25">
      <c r="A5" t="s">
        <v>20</v>
      </c>
      <c r="B5" t="s">
        <v>15</v>
      </c>
      <c r="C5" t="s">
        <v>11</v>
      </c>
      <c r="D5" t="s">
        <v>12</v>
      </c>
      <c r="E5" t="s">
        <v>13</v>
      </c>
      <c r="F5">
        <v>23</v>
      </c>
      <c r="G5">
        <v>103508.96</v>
      </c>
      <c r="H5">
        <v>20</v>
      </c>
      <c r="I5">
        <v>50</v>
      </c>
    </row>
    <row r="6" spans="1:9" x14ac:dyDescent="0.25">
      <c r="A6" t="s">
        <v>21</v>
      </c>
      <c r="B6" t="s">
        <v>22</v>
      </c>
      <c r="C6" t="s">
        <v>16</v>
      </c>
      <c r="D6" t="s">
        <v>23</v>
      </c>
      <c r="E6" t="s">
        <v>13</v>
      </c>
      <c r="F6">
        <v>7</v>
      </c>
      <c r="G6">
        <v>143427.51999999999</v>
      </c>
      <c r="H6">
        <v>6</v>
      </c>
      <c r="I6">
        <v>43</v>
      </c>
    </row>
    <row r="7" spans="1:9" x14ac:dyDescent="0.25">
      <c r="A7" t="s">
        <v>24</v>
      </c>
      <c r="B7" t="s">
        <v>25</v>
      </c>
      <c r="C7" t="s">
        <v>16</v>
      </c>
      <c r="D7" t="s">
        <v>26</v>
      </c>
      <c r="E7" t="s">
        <v>13</v>
      </c>
      <c r="F7">
        <v>78</v>
      </c>
      <c r="G7">
        <v>146252.19</v>
      </c>
      <c r="H7">
        <v>9</v>
      </c>
      <c r="I7">
        <v>41</v>
      </c>
    </row>
    <row r="8" spans="1:9" x14ac:dyDescent="0.25">
      <c r="A8" t="s">
        <v>27</v>
      </c>
      <c r="B8" t="s">
        <v>25</v>
      </c>
      <c r="C8" t="s">
        <v>28</v>
      </c>
      <c r="D8" t="s">
        <v>17</v>
      </c>
      <c r="E8" t="s">
        <v>29</v>
      </c>
      <c r="F8">
        <v>30</v>
      </c>
      <c r="G8">
        <v>54393.48</v>
      </c>
      <c r="H8">
        <v>1</v>
      </c>
      <c r="I8">
        <v>42</v>
      </c>
    </row>
    <row r="9" spans="1:9" x14ac:dyDescent="0.25">
      <c r="A9" t="s">
        <v>30</v>
      </c>
      <c r="B9" t="s">
        <v>31</v>
      </c>
      <c r="C9" t="s">
        <v>28</v>
      </c>
      <c r="D9" t="s">
        <v>32</v>
      </c>
      <c r="E9" t="s">
        <v>29</v>
      </c>
      <c r="F9">
        <v>68</v>
      </c>
      <c r="G9">
        <v>30452.22</v>
      </c>
      <c r="H9">
        <v>6</v>
      </c>
      <c r="I9">
        <v>77</v>
      </c>
    </row>
    <row r="10" spans="1:9" x14ac:dyDescent="0.25">
      <c r="A10" t="s">
        <v>33</v>
      </c>
      <c r="B10" t="s">
        <v>10</v>
      </c>
      <c r="C10" t="s">
        <v>28</v>
      </c>
      <c r="D10" t="s">
        <v>12</v>
      </c>
      <c r="E10" t="s">
        <v>29</v>
      </c>
      <c r="F10">
        <v>41</v>
      </c>
      <c r="G10">
        <v>79517.25</v>
      </c>
      <c r="H10">
        <v>9</v>
      </c>
      <c r="I10">
        <v>62</v>
      </c>
    </row>
    <row r="11" spans="1:9" x14ac:dyDescent="0.25">
      <c r="A11" t="s">
        <v>34</v>
      </c>
      <c r="B11" t="s">
        <v>15</v>
      </c>
      <c r="C11" t="s">
        <v>16</v>
      </c>
      <c r="D11" t="s">
        <v>23</v>
      </c>
      <c r="E11" t="s">
        <v>29</v>
      </c>
      <c r="F11">
        <v>56</v>
      </c>
      <c r="G11">
        <v>116558.38</v>
      </c>
      <c r="H11">
        <v>24</v>
      </c>
      <c r="I11">
        <v>48</v>
      </c>
    </row>
    <row r="12" spans="1:9" x14ac:dyDescent="0.25">
      <c r="A12" t="s">
        <v>35</v>
      </c>
      <c r="B12" t="s">
        <v>36</v>
      </c>
      <c r="C12" t="s">
        <v>16</v>
      </c>
      <c r="D12" t="s">
        <v>23</v>
      </c>
      <c r="E12" t="s">
        <v>13</v>
      </c>
      <c r="F12">
        <v>24</v>
      </c>
      <c r="G12">
        <v>135883.74</v>
      </c>
      <c r="H12">
        <v>15</v>
      </c>
      <c r="I12">
        <v>54</v>
      </c>
    </row>
    <row r="13" spans="1:9" x14ac:dyDescent="0.25">
      <c r="A13" t="s">
        <v>37</v>
      </c>
      <c r="B13" t="s">
        <v>15</v>
      </c>
      <c r="C13" t="s">
        <v>28</v>
      </c>
      <c r="D13" t="s">
        <v>17</v>
      </c>
      <c r="E13" t="s">
        <v>13</v>
      </c>
      <c r="F13">
        <v>62</v>
      </c>
      <c r="G13">
        <v>148179.98000000001</v>
      </c>
      <c r="H13">
        <v>11</v>
      </c>
      <c r="I13">
        <v>87</v>
      </c>
    </row>
    <row r="14" spans="1:9" x14ac:dyDescent="0.25">
      <c r="A14" t="s">
        <v>38</v>
      </c>
      <c r="B14" t="s">
        <v>25</v>
      </c>
      <c r="C14" t="s">
        <v>28</v>
      </c>
      <c r="D14" t="s">
        <v>32</v>
      </c>
      <c r="E14" t="s">
        <v>13</v>
      </c>
      <c r="F14">
        <v>65</v>
      </c>
      <c r="G14">
        <v>20591.650000000001</v>
      </c>
      <c r="H14">
        <v>28</v>
      </c>
      <c r="I14">
        <v>52</v>
      </c>
    </row>
    <row r="15" spans="1:9" x14ac:dyDescent="0.25">
      <c r="A15" t="s">
        <v>39</v>
      </c>
      <c r="B15" t="s">
        <v>10</v>
      </c>
      <c r="C15" t="s">
        <v>28</v>
      </c>
      <c r="D15" t="s">
        <v>12</v>
      </c>
      <c r="E15" t="s">
        <v>13</v>
      </c>
      <c r="F15">
        <v>13</v>
      </c>
      <c r="G15">
        <v>59149.07</v>
      </c>
      <c r="H15">
        <v>19</v>
      </c>
      <c r="I15">
        <v>86</v>
      </c>
    </row>
    <row r="16" spans="1:9" x14ac:dyDescent="0.25">
      <c r="A16" t="s">
        <v>40</v>
      </c>
      <c r="B16" t="s">
        <v>10</v>
      </c>
      <c r="C16" t="s">
        <v>41</v>
      </c>
      <c r="D16" t="s">
        <v>26</v>
      </c>
      <c r="E16" t="s">
        <v>18</v>
      </c>
      <c r="F16">
        <v>39</v>
      </c>
      <c r="G16">
        <v>59335.72</v>
      </c>
      <c r="H16">
        <v>28</v>
      </c>
      <c r="I16">
        <v>80</v>
      </c>
    </row>
    <row r="17" spans="1:9" x14ac:dyDescent="0.25">
      <c r="A17" t="s">
        <v>42</v>
      </c>
      <c r="B17" t="s">
        <v>22</v>
      </c>
      <c r="C17" t="s">
        <v>16</v>
      </c>
      <c r="D17" t="s">
        <v>12</v>
      </c>
      <c r="E17" t="s">
        <v>18</v>
      </c>
      <c r="F17">
        <v>85</v>
      </c>
      <c r="G17">
        <v>101936.34</v>
      </c>
      <c r="H17">
        <v>27</v>
      </c>
      <c r="I17">
        <v>99</v>
      </c>
    </row>
    <row r="18" spans="1:9" x14ac:dyDescent="0.25">
      <c r="A18" t="s">
        <v>43</v>
      </c>
      <c r="B18" t="s">
        <v>22</v>
      </c>
      <c r="C18" t="s">
        <v>41</v>
      </c>
      <c r="D18" t="s">
        <v>12</v>
      </c>
      <c r="E18" t="s">
        <v>18</v>
      </c>
      <c r="F18">
        <v>52</v>
      </c>
      <c r="G18">
        <v>107481.12</v>
      </c>
      <c r="H18">
        <v>8</v>
      </c>
      <c r="I18">
        <v>93</v>
      </c>
    </row>
    <row r="19" spans="1:9" x14ac:dyDescent="0.25">
      <c r="A19" t="s">
        <v>44</v>
      </c>
      <c r="B19" t="s">
        <v>36</v>
      </c>
      <c r="C19" t="s">
        <v>11</v>
      </c>
      <c r="D19" t="s">
        <v>23</v>
      </c>
      <c r="E19" t="s">
        <v>18</v>
      </c>
      <c r="F19">
        <v>25</v>
      </c>
      <c r="G19">
        <v>142574.53</v>
      </c>
      <c r="H19">
        <v>30</v>
      </c>
      <c r="I19">
        <v>99</v>
      </c>
    </row>
    <row r="20" spans="1:9" x14ac:dyDescent="0.25">
      <c r="A20" t="s">
        <v>45</v>
      </c>
      <c r="B20" t="s">
        <v>15</v>
      </c>
      <c r="C20" t="s">
        <v>41</v>
      </c>
      <c r="D20" t="s">
        <v>23</v>
      </c>
      <c r="E20" t="s">
        <v>18</v>
      </c>
      <c r="F20">
        <v>1</v>
      </c>
      <c r="G20">
        <v>43174.44</v>
      </c>
      <c r="H20">
        <v>24</v>
      </c>
      <c r="I20">
        <v>100</v>
      </c>
    </row>
    <row r="21" spans="1:9" x14ac:dyDescent="0.25">
      <c r="A21" t="s">
        <v>46</v>
      </c>
      <c r="B21" t="s">
        <v>31</v>
      </c>
      <c r="C21" t="s">
        <v>16</v>
      </c>
      <c r="D21" t="s">
        <v>12</v>
      </c>
      <c r="E21" t="s">
        <v>13</v>
      </c>
      <c r="F21">
        <v>3</v>
      </c>
      <c r="G21">
        <v>125171.58</v>
      </c>
      <c r="H21">
        <v>30</v>
      </c>
      <c r="I21">
        <v>89</v>
      </c>
    </row>
    <row r="22" spans="1:9" x14ac:dyDescent="0.25">
      <c r="A22" t="s">
        <v>47</v>
      </c>
      <c r="B22" t="s">
        <v>15</v>
      </c>
      <c r="C22" t="s">
        <v>11</v>
      </c>
      <c r="D22" t="s">
        <v>26</v>
      </c>
      <c r="E22" t="s">
        <v>18</v>
      </c>
      <c r="F22">
        <v>31</v>
      </c>
      <c r="G22">
        <v>51842.34</v>
      </c>
      <c r="H22">
        <v>15</v>
      </c>
      <c r="I22">
        <v>74</v>
      </c>
    </row>
    <row r="23" spans="1:9" x14ac:dyDescent="0.25">
      <c r="A23" t="s">
        <v>48</v>
      </c>
      <c r="B23" t="s">
        <v>36</v>
      </c>
      <c r="C23" t="s">
        <v>11</v>
      </c>
      <c r="D23" t="s">
        <v>26</v>
      </c>
      <c r="E23" t="s">
        <v>18</v>
      </c>
      <c r="F23">
        <v>66</v>
      </c>
      <c r="G23">
        <v>30547.73</v>
      </c>
      <c r="H23">
        <v>11</v>
      </c>
      <c r="I23">
        <v>47</v>
      </c>
    </row>
    <row r="24" spans="1:9" x14ac:dyDescent="0.25">
      <c r="A24" t="s">
        <v>49</v>
      </c>
      <c r="B24" t="s">
        <v>22</v>
      </c>
      <c r="C24" t="s">
        <v>11</v>
      </c>
      <c r="D24" t="s">
        <v>32</v>
      </c>
      <c r="E24" t="s">
        <v>18</v>
      </c>
      <c r="F24">
        <v>68</v>
      </c>
      <c r="G24">
        <v>68961.679999999993</v>
      </c>
      <c r="H24">
        <v>5</v>
      </c>
      <c r="I24">
        <v>67</v>
      </c>
    </row>
    <row r="25" spans="1:9" x14ac:dyDescent="0.25">
      <c r="A25" t="s">
        <v>50</v>
      </c>
      <c r="B25" t="s">
        <v>36</v>
      </c>
      <c r="C25" t="s">
        <v>11</v>
      </c>
      <c r="D25" t="s">
        <v>32</v>
      </c>
      <c r="E25" t="s">
        <v>29</v>
      </c>
      <c r="F25">
        <v>75</v>
      </c>
      <c r="G25">
        <v>89887.05</v>
      </c>
      <c r="H25">
        <v>28</v>
      </c>
      <c r="I25">
        <v>92</v>
      </c>
    </row>
    <row r="26" spans="1:9" x14ac:dyDescent="0.25">
      <c r="A26" t="s">
        <v>51</v>
      </c>
      <c r="B26" t="s">
        <v>15</v>
      </c>
      <c r="C26" t="s">
        <v>16</v>
      </c>
      <c r="D26" t="s">
        <v>12</v>
      </c>
      <c r="E26" t="s">
        <v>18</v>
      </c>
      <c r="F26">
        <v>35</v>
      </c>
      <c r="G26">
        <v>54350.5</v>
      </c>
      <c r="H26">
        <v>24</v>
      </c>
      <c r="I26">
        <v>70</v>
      </c>
    </row>
    <row r="27" spans="1:9" x14ac:dyDescent="0.25">
      <c r="A27" t="s">
        <v>52</v>
      </c>
      <c r="B27" t="s">
        <v>31</v>
      </c>
      <c r="C27" t="s">
        <v>11</v>
      </c>
      <c r="D27" t="s">
        <v>23</v>
      </c>
      <c r="E27" t="s">
        <v>18</v>
      </c>
      <c r="F27">
        <v>56</v>
      </c>
      <c r="G27">
        <v>47635.12</v>
      </c>
      <c r="H27">
        <v>3</v>
      </c>
      <c r="I27">
        <v>47</v>
      </c>
    </row>
    <row r="28" spans="1:9" x14ac:dyDescent="0.25">
      <c r="A28" t="s">
        <v>53</v>
      </c>
      <c r="B28" t="s">
        <v>22</v>
      </c>
      <c r="C28" t="s">
        <v>41</v>
      </c>
      <c r="D28" t="s">
        <v>23</v>
      </c>
      <c r="E28" t="s">
        <v>29</v>
      </c>
      <c r="F28">
        <v>34</v>
      </c>
      <c r="G28">
        <v>136077.99</v>
      </c>
      <c r="H28">
        <v>25</v>
      </c>
      <c r="I28">
        <v>58</v>
      </c>
    </row>
    <row r="29" spans="1:9" x14ac:dyDescent="0.25">
      <c r="A29" t="s">
        <v>54</v>
      </c>
      <c r="B29" t="s">
        <v>25</v>
      </c>
      <c r="C29" t="s">
        <v>11</v>
      </c>
      <c r="D29" t="s">
        <v>23</v>
      </c>
      <c r="E29" t="s">
        <v>18</v>
      </c>
      <c r="F29">
        <v>31</v>
      </c>
      <c r="G29">
        <v>103276.56</v>
      </c>
      <c r="H29">
        <v>30</v>
      </c>
      <c r="I29">
        <v>84</v>
      </c>
    </row>
    <row r="30" spans="1:9" x14ac:dyDescent="0.25">
      <c r="A30" t="s">
        <v>55</v>
      </c>
      <c r="B30" t="s">
        <v>10</v>
      </c>
      <c r="C30" t="s">
        <v>41</v>
      </c>
      <c r="D30" t="s">
        <v>26</v>
      </c>
      <c r="E30" t="s">
        <v>18</v>
      </c>
      <c r="F30">
        <v>25</v>
      </c>
      <c r="G30">
        <v>38676.85</v>
      </c>
      <c r="H30">
        <v>9</v>
      </c>
      <c r="I30">
        <v>70</v>
      </c>
    </row>
    <row r="31" spans="1:9" x14ac:dyDescent="0.25">
      <c r="A31" t="s">
        <v>56</v>
      </c>
      <c r="B31" t="s">
        <v>10</v>
      </c>
      <c r="C31" t="s">
        <v>41</v>
      </c>
      <c r="D31" t="s">
        <v>32</v>
      </c>
      <c r="E31" t="s">
        <v>29</v>
      </c>
      <c r="F31">
        <v>86</v>
      </c>
      <c r="G31">
        <v>35788.22</v>
      </c>
      <c r="H31">
        <v>3</v>
      </c>
      <c r="I31">
        <v>66</v>
      </c>
    </row>
    <row r="32" spans="1:9" x14ac:dyDescent="0.25">
      <c r="A32" t="s">
        <v>57</v>
      </c>
      <c r="B32" t="s">
        <v>36</v>
      </c>
      <c r="C32" t="s">
        <v>16</v>
      </c>
      <c r="D32" t="s">
        <v>12</v>
      </c>
      <c r="E32" t="s">
        <v>18</v>
      </c>
      <c r="F32">
        <v>79</v>
      </c>
      <c r="G32">
        <v>140415.63</v>
      </c>
      <c r="H32">
        <v>16</v>
      </c>
      <c r="I32">
        <v>67</v>
      </c>
    </row>
    <row r="33" spans="1:9" x14ac:dyDescent="0.25">
      <c r="A33" t="s">
        <v>58</v>
      </c>
      <c r="B33" t="s">
        <v>22</v>
      </c>
      <c r="C33" t="s">
        <v>41</v>
      </c>
      <c r="D33" t="s">
        <v>26</v>
      </c>
      <c r="E33" t="s">
        <v>18</v>
      </c>
      <c r="F33">
        <v>51</v>
      </c>
      <c r="G33">
        <v>143365.82999999999</v>
      </c>
      <c r="H33">
        <v>1</v>
      </c>
      <c r="I33">
        <v>58</v>
      </c>
    </row>
    <row r="34" spans="1:9" x14ac:dyDescent="0.25">
      <c r="A34" t="s">
        <v>59</v>
      </c>
      <c r="B34" t="s">
        <v>10</v>
      </c>
      <c r="C34" t="s">
        <v>16</v>
      </c>
      <c r="D34" t="s">
        <v>17</v>
      </c>
      <c r="E34" t="s">
        <v>18</v>
      </c>
      <c r="F34">
        <v>1</v>
      </c>
      <c r="G34">
        <v>101058.07</v>
      </c>
      <c r="H34">
        <v>4</v>
      </c>
      <c r="I34">
        <v>81</v>
      </c>
    </row>
    <row r="35" spans="1:9" x14ac:dyDescent="0.25">
      <c r="A35" t="s">
        <v>60</v>
      </c>
      <c r="B35" t="s">
        <v>22</v>
      </c>
      <c r="C35" t="s">
        <v>11</v>
      </c>
      <c r="D35" t="s">
        <v>12</v>
      </c>
      <c r="E35" t="s">
        <v>29</v>
      </c>
      <c r="F35">
        <v>58</v>
      </c>
      <c r="G35">
        <v>41426.04</v>
      </c>
      <c r="H35">
        <v>6</v>
      </c>
      <c r="I35">
        <v>67</v>
      </c>
    </row>
    <row r="36" spans="1:9" x14ac:dyDescent="0.25">
      <c r="A36" t="s">
        <v>61</v>
      </c>
      <c r="B36" t="s">
        <v>22</v>
      </c>
      <c r="C36" t="s">
        <v>28</v>
      </c>
      <c r="D36" t="s">
        <v>17</v>
      </c>
      <c r="E36" t="s">
        <v>13</v>
      </c>
      <c r="F36">
        <v>15</v>
      </c>
      <c r="G36">
        <v>131454.59</v>
      </c>
      <c r="H36">
        <v>30</v>
      </c>
      <c r="I36">
        <v>83</v>
      </c>
    </row>
    <row r="37" spans="1:9" x14ac:dyDescent="0.25">
      <c r="A37" t="s">
        <v>62</v>
      </c>
      <c r="B37" t="s">
        <v>10</v>
      </c>
      <c r="C37" t="s">
        <v>16</v>
      </c>
      <c r="D37" t="s">
        <v>32</v>
      </c>
      <c r="E37" t="s">
        <v>13</v>
      </c>
      <c r="F37">
        <v>5</v>
      </c>
      <c r="G37">
        <v>48581.36</v>
      </c>
      <c r="H37">
        <v>16</v>
      </c>
      <c r="I37">
        <v>40</v>
      </c>
    </row>
    <row r="38" spans="1:9" x14ac:dyDescent="0.25">
      <c r="A38" t="s">
        <v>63</v>
      </c>
      <c r="B38" t="s">
        <v>15</v>
      </c>
      <c r="C38" t="s">
        <v>11</v>
      </c>
      <c r="D38" t="s">
        <v>17</v>
      </c>
      <c r="E38" t="s">
        <v>13</v>
      </c>
      <c r="F38">
        <v>41</v>
      </c>
      <c r="G38">
        <v>143381.07</v>
      </c>
      <c r="H38">
        <v>1</v>
      </c>
      <c r="I38">
        <v>87</v>
      </c>
    </row>
    <row r="39" spans="1:9" x14ac:dyDescent="0.25">
      <c r="A39" t="s">
        <v>64</v>
      </c>
      <c r="B39" t="s">
        <v>15</v>
      </c>
      <c r="C39" t="s">
        <v>11</v>
      </c>
      <c r="D39" t="s">
        <v>17</v>
      </c>
      <c r="E39" t="s">
        <v>18</v>
      </c>
      <c r="F39">
        <v>3</v>
      </c>
      <c r="G39">
        <v>50045.440000000002</v>
      </c>
      <c r="H39">
        <v>15</v>
      </c>
      <c r="I39">
        <v>84</v>
      </c>
    </row>
    <row r="40" spans="1:9" x14ac:dyDescent="0.25">
      <c r="A40" t="s">
        <v>65</v>
      </c>
      <c r="B40" t="s">
        <v>22</v>
      </c>
      <c r="C40" t="s">
        <v>11</v>
      </c>
      <c r="D40" t="s">
        <v>17</v>
      </c>
      <c r="E40" t="s">
        <v>29</v>
      </c>
      <c r="F40">
        <v>58</v>
      </c>
      <c r="G40">
        <v>86479.95</v>
      </c>
      <c r="H40">
        <v>1</v>
      </c>
      <c r="I40">
        <v>75</v>
      </c>
    </row>
    <row r="41" spans="1:9" x14ac:dyDescent="0.25">
      <c r="A41" t="s">
        <v>66</v>
      </c>
      <c r="B41" t="s">
        <v>15</v>
      </c>
      <c r="C41" t="s">
        <v>41</v>
      </c>
      <c r="D41" t="s">
        <v>23</v>
      </c>
      <c r="E41" t="s">
        <v>18</v>
      </c>
      <c r="F41">
        <v>14</v>
      </c>
      <c r="G41">
        <v>9067.3799999999992</v>
      </c>
      <c r="H41">
        <v>28</v>
      </c>
      <c r="I41">
        <v>86</v>
      </c>
    </row>
    <row r="42" spans="1:9" x14ac:dyDescent="0.25">
      <c r="A42" t="s">
        <v>67</v>
      </c>
      <c r="B42" t="s">
        <v>15</v>
      </c>
      <c r="C42" t="s">
        <v>28</v>
      </c>
      <c r="D42" t="s">
        <v>23</v>
      </c>
      <c r="E42" t="s">
        <v>18</v>
      </c>
      <c r="F42">
        <v>31</v>
      </c>
      <c r="G42">
        <v>113414.83</v>
      </c>
      <c r="H42">
        <v>8</v>
      </c>
      <c r="I42">
        <v>70</v>
      </c>
    </row>
    <row r="43" spans="1:9" x14ac:dyDescent="0.25">
      <c r="A43" t="s">
        <v>68</v>
      </c>
      <c r="B43" t="s">
        <v>31</v>
      </c>
      <c r="C43" t="s">
        <v>16</v>
      </c>
      <c r="D43" t="s">
        <v>12</v>
      </c>
      <c r="E43" t="s">
        <v>18</v>
      </c>
      <c r="F43">
        <v>85</v>
      </c>
      <c r="G43">
        <v>78946.19</v>
      </c>
      <c r="H43">
        <v>3</v>
      </c>
      <c r="I43">
        <v>48</v>
      </c>
    </row>
    <row r="44" spans="1:9" x14ac:dyDescent="0.25">
      <c r="A44" t="s">
        <v>69</v>
      </c>
      <c r="B44" t="s">
        <v>10</v>
      </c>
      <c r="C44" t="s">
        <v>11</v>
      </c>
      <c r="D44" t="s">
        <v>26</v>
      </c>
      <c r="E44" t="s">
        <v>18</v>
      </c>
      <c r="F44">
        <v>22</v>
      </c>
      <c r="G44">
        <v>100035.91</v>
      </c>
      <c r="H44">
        <v>29</v>
      </c>
      <c r="I44">
        <v>70</v>
      </c>
    </row>
    <row r="45" spans="1:9" x14ac:dyDescent="0.25">
      <c r="A45" t="s">
        <v>70</v>
      </c>
      <c r="B45" t="s">
        <v>15</v>
      </c>
      <c r="C45" t="s">
        <v>28</v>
      </c>
      <c r="D45" t="s">
        <v>23</v>
      </c>
      <c r="E45" t="s">
        <v>18</v>
      </c>
      <c r="F45">
        <v>62</v>
      </c>
      <c r="G45">
        <v>149340.16</v>
      </c>
      <c r="H45">
        <v>18</v>
      </c>
      <c r="I45">
        <v>49</v>
      </c>
    </row>
    <row r="46" spans="1:9" x14ac:dyDescent="0.25">
      <c r="A46" t="s">
        <v>71</v>
      </c>
      <c r="B46" t="s">
        <v>10</v>
      </c>
      <c r="C46" t="s">
        <v>11</v>
      </c>
      <c r="D46" t="s">
        <v>12</v>
      </c>
      <c r="E46" t="s">
        <v>13</v>
      </c>
      <c r="F46">
        <v>79</v>
      </c>
      <c r="G46">
        <v>105328.19</v>
      </c>
      <c r="H46">
        <v>26</v>
      </c>
      <c r="I46">
        <v>94</v>
      </c>
    </row>
    <row r="47" spans="1:9" x14ac:dyDescent="0.25">
      <c r="A47" t="s">
        <v>72</v>
      </c>
      <c r="B47" t="s">
        <v>10</v>
      </c>
      <c r="C47" t="s">
        <v>28</v>
      </c>
      <c r="D47" t="s">
        <v>12</v>
      </c>
      <c r="E47" t="s">
        <v>29</v>
      </c>
      <c r="F47">
        <v>19</v>
      </c>
      <c r="G47">
        <v>21826.12</v>
      </c>
      <c r="H47">
        <v>17</v>
      </c>
      <c r="I47">
        <v>48</v>
      </c>
    </row>
    <row r="48" spans="1:9" x14ac:dyDescent="0.25">
      <c r="A48" t="s">
        <v>73</v>
      </c>
      <c r="B48" t="s">
        <v>36</v>
      </c>
      <c r="C48" t="s">
        <v>11</v>
      </c>
      <c r="D48" t="s">
        <v>32</v>
      </c>
      <c r="E48" t="s">
        <v>18</v>
      </c>
      <c r="F48">
        <v>37</v>
      </c>
      <c r="G48">
        <v>77556.53</v>
      </c>
      <c r="H48">
        <v>24</v>
      </c>
      <c r="I48">
        <v>87</v>
      </c>
    </row>
    <row r="49" spans="1:9" x14ac:dyDescent="0.25">
      <c r="A49" t="s">
        <v>74</v>
      </c>
      <c r="B49" t="s">
        <v>36</v>
      </c>
      <c r="C49" t="s">
        <v>28</v>
      </c>
      <c r="D49" t="s">
        <v>26</v>
      </c>
      <c r="E49" t="s">
        <v>18</v>
      </c>
      <c r="F49">
        <v>30</v>
      </c>
      <c r="G49">
        <v>53806.86</v>
      </c>
      <c r="H49">
        <v>21</v>
      </c>
      <c r="I49">
        <v>82</v>
      </c>
    </row>
    <row r="50" spans="1:9" x14ac:dyDescent="0.25">
      <c r="A50" t="s">
        <v>75</v>
      </c>
      <c r="B50" t="s">
        <v>15</v>
      </c>
      <c r="C50" t="s">
        <v>41</v>
      </c>
      <c r="D50" t="s">
        <v>12</v>
      </c>
      <c r="E50" t="s">
        <v>18</v>
      </c>
      <c r="F50">
        <v>66</v>
      </c>
      <c r="G50">
        <v>84096.91</v>
      </c>
      <c r="H50">
        <v>18</v>
      </c>
      <c r="I50">
        <v>91</v>
      </c>
    </row>
    <row r="51" spans="1:9" x14ac:dyDescent="0.25">
      <c r="A51" t="s">
        <v>76</v>
      </c>
      <c r="B51" t="s">
        <v>10</v>
      </c>
      <c r="C51" t="s">
        <v>28</v>
      </c>
      <c r="D51" t="s">
        <v>12</v>
      </c>
      <c r="E51" t="s">
        <v>18</v>
      </c>
      <c r="F51">
        <v>22</v>
      </c>
      <c r="G51">
        <v>46384.67</v>
      </c>
      <c r="H51">
        <v>3</v>
      </c>
      <c r="I51">
        <v>84</v>
      </c>
    </row>
    <row r="52" spans="1:9" x14ac:dyDescent="0.25">
      <c r="A52" t="s">
        <v>77</v>
      </c>
      <c r="B52" t="s">
        <v>10</v>
      </c>
      <c r="C52" t="s">
        <v>28</v>
      </c>
      <c r="D52" t="s">
        <v>17</v>
      </c>
      <c r="E52" t="s">
        <v>18</v>
      </c>
      <c r="F52">
        <v>60</v>
      </c>
      <c r="G52">
        <v>122442.43</v>
      </c>
      <c r="H52">
        <v>6</v>
      </c>
      <c r="I52">
        <v>94</v>
      </c>
    </row>
    <row r="53" spans="1:9" x14ac:dyDescent="0.25">
      <c r="A53" t="s">
        <v>78</v>
      </c>
      <c r="B53" t="s">
        <v>31</v>
      </c>
      <c r="C53" t="s">
        <v>16</v>
      </c>
      <c r="D53" t="s">
        <v>12</v>
      </c>
      <c r="E53" t="s">
        <v>29</v>
      </c>
      <c r="F53">
        <v>35</v>
      </c>
      <c r="G53">
        <v>73863.679999999993</v>
      </c>
      <c r="H53">
        <v>17</v>
      </c>
      <c r="I53">
        <v>42</v>
      </c>
    </row>
    <row r="54" spans="1:9" x14ac:dyDescent="0.25">
      <c r="A54" t="s">
        <v>79</v>
      </c>
      <c r="B54" t="s">
        <v>22</v>
      </c>
      <c r="C54" t="s">
        <v>11</v>
      </c>
      <c r="D54" t="s">
        <v>23</v>
      </c>
      <c r="E54" t="s">
        <v>13</v>
      </c>
      <c r="F54">
        <v>21</v>
      </c>
      <c r="G54">
        <v>75334.19</v>
      </c>
      <c r="H54">
        <v>23</v>
      </c>
      <c r="I54">
        <v>51</v>
      </c>
    </row>
    <row r="55" spans="1:9" x14ac:dyDescent="0.25">
      <c r="A55" t="s">
        <v>80</v>
      </c>
      <c r="B55" t="s">
        <v>31</v>
      </c>
      <c r="C55" t="s">
        <v>28</v>
      </c>
      <c r="D55" t="s">
        <v>17</v>
      </c>
      <c r="E55" t="s">
        <v>29</v>
      </c>
      <c r="F55">
        <v>51</v>
      </c>
      <c r="G55">
        <v>59829.99</v>
      </c>
      <c r="H55">
        <v>2</v>
      </c>
      <c r="I55">
        <v>40</v>
      </c>
    </row>
    <row r="56" spans="1:9" x14ac:dyDescent="0.25">
      <c r="A56" t="s">
        <v>81</v>
      </c>
      <c r="B56" t="s">
        <v>31</v>
      </c>
      <c r="C56" t="s">
        <v>28</v>
      </c>
      <c r="D56" t="s">
        <v>32</v>
      </c>
      <c r="E56" t="s">
        <v>13</v>
      </c>
      <c r="F56">
        <v>87</v>
      </c>
      <c r="G56">
        <v>5444.8</v>
      </c>
      <c r="H56">
        <v>5</v>
      </c>
      <c r="I56">
        <v>42</v>
      </c>
    </row>
    <row r="57" spans="1:9" x14ac:dyDescent="0.25">
      <c r="A57" t="s">
        <v>82</v>
      </c>
      <c r="B57" t="s">
        <v>25</v>
      </c>
      <c r="C57" t="s">
        <v>11</v>
      </c>
      <c r="D57" t="s">
        <v>17</v>
      </c>
      <c r="E57" t="s">
        <v>18</v>
      </c>
      <c r="F57">
        <v>11</v>
      </c>
      <c r="G57">
        <v>39022.85</v>
      </c>
      <c r="H57">
        <v>8</v>
      </c>
      <c r="I57">
        <v>96</v>
      </c>
    </row>
    <row r="58" spans="1:9" x14ac:dyDescent="0.25">
      <c r="A58" t="s">
        <v>83</v>
      </c>
      <c r="B58" t="s">
        <v>15</v>
      </c>
      <c r="C58" t="s">
        <v>11</v>
      </c>
      <c r="D58" t="s">
        <v>12</v>
      </c>
      <c r="E58" t="s">
        <v>18</v>
      </c>
      <c r="F58">
        <v>7</v>
      </c>
      <c r="G58">
        <v>127110.45</v>
      </c>
      <c r="H58">
        <v>30</v>
      </c>
      <c r="I58">
        <v>100</v>
      </c>
    </row>
    <row r="59" spans="1:9" x14ac:dyDescent="0.25">
      <c r="A59" t="s">
        <v>84</v>
      </c>
      <c r="B59" t="s">
        <v>25</v>
      </c>
      <c r="C59" t="s">
        <v>16</v>
      </c>
      <c r="D59" t="s">
        <v>17</v>
      </c>
      <c r="E59" t="s">
        <v>29</v>
      </c>
      <c r="F59">
        <v>80</v>
      </c>
      <c r="G59">
        <v>120082.46</v>
      </c>
      <c r="H59">
        <v>16</v>
      </c>
      <c r="I59">
        <v>93</v>
      </c>
    </row>
    <row r="60" spans="1:9" x14ac:dyDescent="0.25">
      <c r="A60" t="s">
        <v>85</v>
      </c>
      <c r="B60" t="s">
        <v>15</v>
      </c>
      <c r="C60" t="s">
        <v>28</v>
      </c>
      <c r="D60" t="s">
        <v>17</v>
      </c>
      <c r="E60" t="s">
        <v>18</v>
      </c>
      <c r="F60">
        <v>75</v>
      </c>
      <c r="G60">
        <v>79671.37</v>
      </c>
      <c r="H60">
        <v>30</v>
      </c>
      <c r="I60">
        <v>43</v>
      </c>
    </row>
    <row r="61" spans="1:9" x14ac:dyDescent="0.25">
      <c r="A61" t="s">
        <v>86</v>
      </c>
      <c r="B61" t="s">
        <v>10</v>
      </c>
      <c r="C61" t="s">
        <v>41</v>
      </c>
      <c r="D61" t="s">
        <v>12</v>
      </c>
      <c r="E61" t="s">
        <v>18</v>
      </c>
      <c r="F61">
        <v>7</v>
      </c>
      <c r="G61">
        <v>66277.52</v>
      </c>
      <c r="H61">
        <v>26</v>
      </c>
      <c r="I61">
        <v>69</v>
      </c>
    </row>
    <row r="62" spans="1:9" x14ac:dyDescent="0.25">
      <c r="A62" t="s">
        <v>87</v>
      </c>
      <c r="B62" t="s">
        <v>22</v>
      </c>
      <c r="C62" t="s">
        <v>11</v>
      </c>
      <c r="D62" t="s">
        <v>32</v>
      </c>
      <c r="E62" t="s">
        <v>13</v>
      </c>
      <c r="F62">
        <v>14</v>
      </c>
      <c r="G62">
        <v>12241.3</v>
      </c>
      <c r="H62">
        <v>20</v>
      </c>
      <c r="I62">
        <v>40</v>
      </c>
    </row>
    <row r="63" spans="1:9" x14ac:dyDescent="0.25">
      <c r="A63" t="s">
        <v>88</v>
      </c>
      <c r="B63" t="s">
        <v>36</v>
      </c>
      <c r="C63" t="s">
        <v>28</v>
      </c>
      <c r="D63" t="s">
        <v>17</v>
      </c>
      <c r="E63" t="s">
        <v>18</v>
      </c>
      <c r="F63">
        <v>22</v>
      </c>
      <c r="G63">
        <v>133882.43</v>
      </c>
      <c r="H63">
        <v>29</v>
      </c>
      <c r="I63">
        <v>63</v>
      </c>
    </row>
    <row r="64" spans="1:9" x14ac:dyDescent="0.25">
      <c r="A64" t="s">
        <v>89</v>
      </c>
      <c r="B64" t="s">
        <v>25</v>
      </c>
      <c r="C64" t="s">
        <v>41</v>
      </c>
      <c r="D64" t="s">
        <v>12</v>
      </c>
      <c r="E64" t="s">
        <v>29</v>
      </c>
      <c r="F64">
        <v>73</v>
      </c>
      <c r="G64">
        <v>148488.95000000001</v>
      </c>
      <c r="H64">
        <v>22</v>
      </c>
      <c r="I64">
        <v>77</v>
      </c>
    </row>
    <row r="65" spans="1:9" x14ac:dyDescent="0.25">
      <c r="A65" t="s">
        <v>90</v>
      </c>
      <c r="B65" t="s">
        <v>31</v>
      </c>
      <c r="C65" t="s">
        <v>16</v>
      </c>
      <c r="D65" t="s">
        <v>12</v>
      </c>
      <c r="E65" t="s">
        <v>29</v>
      </c>
      <c r="F65">
        <v>5</v>
      </c>
      <c r="G65">
        <v>74239.37</v>
      </c>
      <c r="H65">
        <v>7</v>
      </c>
      <c r="I65">
        <v>61</v>
      </c>
    </row>
    <row r="66" spans="1:9" x14ac:dyDescent="0.25">
      <c r="A66" t="s">
        <v>91</v>
      </c>
      <c r="B66" t="s">
        <v>22</v>
      </c>
      <c r="C66" t="s">
        <v>16</v>
      </c>
      <c r="D66" t="s">
        <v>32</v>
      </c>
      <c r="E66" t="s">
        <v>18</v>
      </c>
      <c r="F66">
        <v>6</v>
      </c>
      <c r="G66">
        <v>98732.94</v>
      </c>
      <c r="H66">
        <v>25</v>
      </c>
      <c r="I66">
        <v>45</v>
      </c>
    </row>
    <row r="67" spans="1:9" x14ac:dyDescent="0.25">
      <c r="A67" t="s">
        <v>92</v>
      </c>
      <c r="B67" t="s">
        <v>10</v>
      </c>
      <c r="C67" t="s">
        <v>11</v>
      </c>
      <c r="D67" t="s">
        <v>23</v>
      </c>
      <c r="E67" t="s">
        <v>13</v>
      </c>
      <c r="F67">
        <v>4</v>
      </c>
      <c r="G67">
        <v>66339.33</v>
      </c>
      <c r="H67">
        <v>5</v>
      </c>
      <c r="I67">
        <v>77</v>
      </c>
    </row>
    <row r="68" spans="1:9" x14ac:dyDescent="0.25">
      <c r="A68" t="s">
        <v>93</v>
      </c>
      <c r="B68" t="s">
        <v>10</v>
      </c>
      <c r="C68" t="s">
        <v>16</v>
      </c>
      <c r="D68" t="s">
        <v>32</v>
      </c>
      <c r="E68" t="s">
        <v>18</v>
      </c>
      <c r="F68">
        <v>14</v>
      </c>
      <c r="G68">
        <v>113363.27</v>
      </c>
      <c r="H68">
        <v>9</v>
      </c>
      <c r="I68">
        <v>74</v>
      </c>
    </row>
    <row r="69" spans="1:9" x14ac:dyDescent="0.25">
      <c r="A69" t="s">
        <v>94</v>
      </c>
      <c r="B69" t="s">
        <v>10</v>
      </c>
      <c r="C69" t="s">
        <v>16</v>
      </c>
      <c r="D69" t="s">
        <v>32</v>
      </c>
      <c r="E69" t="s">
        <v>13</v>
      </c>
      <c r="F69">
        <v>11</v>
      </c>
      <c r="G69">
        <v>24492.09</v>
      </c>
      <c r="H69">
        <v>8</v>
      </c>
      <c r="I69">
        <v>58</v>
      </c>
    </row>
    <row r="70" spans="1:9" x14ac:dyDescent="0.25">
      <c r="A70" t="s">
        <v>95</v>
      </c>
      <c r="B70" t="s">
        <v>25</v>
      </c>
      <c r="C70" t="s">
        <v>16</v>
      </c>
      <c r="D70" t="s">
        <v>32</v>
      </c>
      <c r="E70" t="s">
        <v>13</v>
      </c>
      <c r="F70">
        <v>19</v>
      </c>
      <c r="G70">
        <v>42080.85</v>
      </c>
      <c r="H70">
        <v>29</v>
      </c>
      <c r="I70">
        <v>65</v>
      </c>
    </row>
    <row r="71" spans="1:9" x14ac:dyDescent="0.25">
      <c r="A71" t="s">
        <v>96</v>
      </c>
      <c r="B71" t="s">
        <v>31</v>
      </c>
      <c r="C71" t="s">
        <v>16</v>
      </c>
      <c r="D71" t="s">
        <v>23</v>
      </c>
      <c r="E71" t="s">
        <v>29</v>
      </c>
      <c r="F71">
        <v>56</v>
      </c>
      <c r="G71">
        <v>147658.16</v>
      </c>
      <c r="H71">
        <v>11</v>
      </c>
      <c r="I71">
        <v>96</v>
      </c>
    </row>
    <row r="72" spans="1:9" x14ac:dyDescent="0.25">
      <c r="A72" t="s">
        <v>97</v>
      </c>
      <c r="B72" t="s">
        <v>22</v>
      </c>
      <c r="C72" t="s">
        <v>16</v>
      </c>
      <c r="D72" t="s">
        <v>12</v>
      </c>
      <c r="E72" t="s">
        <v>13</v>
      </c>
      <c r="F72">
        <v>40</v>
      </c>
      <c r="G72">
        <v>79386.600000000006</v>
      </c>
      <c r="H72">
        <v>21</v>
      </c>
      <c r="I72">
        <v>67</v>
      </c>
    </row>
    <row r="73" spans="1:9" x14ac:dyDescent="0.25">
      <c r="A73" t="s">
        <v>98</v>
      </c>
      <c r="B73" t="s">
        <v>36</v>
      </c>
      <c r="C73" t="s">
        <v>41</v>
      </c>
      <c r="D73" t="s">
        <v>17</v>
      </c>
      <c r="E73" t="s">
        <v>18</v>
      </c>
      <c r="F73">
        <v>6</v>
      </c>
      <c r="G73">
        <v>22175.37</v>
      </c>
      <c r="H73">
        <v>17</v>
      </c>
      <c r="I73">
        <v>82</v>
      </c>
    </row>
    <row r="74" spans="1:9" x14ac:dyDescent="0.25">
      <c r="A74" t="s">
        <v>99</v>
      </c>
      <c r="B74" t="s">
        <v>31</v>
      </c>
      <c r="C74" t="s">
        <v>28</v>
      </c>
      <c r="D74" t="s">
        <v>12</v>
      </c>
      <c r="E74" t="s">
        <v>29</v>
      </c>
      <c r="F74">
        <v>62</v>
      </c>
      <c r="G74">
        <v>16296.15</v>
      </c>
      <c r="H74">
        <v>28</v>
      </c>
      <c r="I74">
        <v>63</v>
      </c>
    </row>
    <row r="75" spans="1:9" x14ac:dyDescent="0.25">
      <c r="A75" t="s">
        <v>100</v>
      </c>
      <c r="B75" t="s">
        <v>31</v>
      </c>
      <c r="C75" t="s">
        <v>41</v>
      </c>
      <c r="D75" t="s">
        <v>12</v>
      </c>
      <c r="E75" t="s">
        <v>29</v>
      </c>
      <c r="F75">
        <v>56</v>
      </c>
      <c r="G75">
        <v>120488.57</v>
      </c>
      <c r="H75">
        <v>30</v>
      </c>
      <c r="I75">
        <v>48</v>
      </c>
    </row>
    <row r="76" spans="1:9" x14ac:dyDescent="0.25">
      <c r="A76" t="s">
        <v>101</v>
      </c>
      <c r="B76" t="s">
        <v>22</v>
      </c>
      <c r="C76" t="s">
        <v>28</v>
      </c>
      <c r="D76" t="s">
        <v>12</v>
      </c>
      <c r="E76" t="s">
        <v>13</v>
      </c>
      <c r="F76">
        <v>8</v>
      </c>
      <c r="G76">
        <v>111873.66</v>
      </c>
      <c r="H76">
        <v>16</v>
      </c>
      <c r="I76">
        <v>74</v>
      </c>
    </row>
    <row r="77" spans="1:9" x14ac:dyDescent="0.25">
      <c r="A77" t="s">
        <v>102</v>
      </c>
      <c r="B77" t="s">
        <v>22</v>
      </c>
      <c r="C77" t="s">
        <v>16</v>
      </c>
      <c r="D77" t="s">
        <v>23</v>
      </c>
      <c r="E77" t="s">
        <v>18</v>
      </c>
      <c r="F77">
        <v>62</v>
      </c>
      <c r="G77">
        <v>27610.65</v>
      </c>
      <c r="H77">
        <v>26</v>
      </c>
      <c r="I77">
        <v>72</v>
      </c>
    </row>
    <row r="78" spans="1:9" x14ac:dyDescent="0.25">
      <c r="A78" t="s">
        <v>103</v>
      </c>
      <c r="B78" t="s">
        <v>22</v>
      </c>
      <c r="C78" t="s">
        <v>41</v>
      </c>
      <c r="D78" t="s">
        <v>32</v>
      </c>
      <c r="E78" t="s">
        <v>29</v>
      </c>
      <c r="F78">
        <v>17</v>
      </c>
      <c r="G78">
        <v>142458.98000000001</v>
      </c>
      <c r="H78">
        <v>6</v>
      </c>
      <c r="I78">
        <v>69</v>
      </c>
    </row>
    <row r="79" spans="1:9" x14ac:dyDescent="0.25">
      <c r="A79" t="s">
        <v>104</v>
      </c>
      <c r="B79" t="s">
        <v>22</v>
      </c>
      <c r="C79" t="s">
        <v>11</v>
      </c>
      <c r="D79" t="s">
        <v>23</v>
      </c>
      <c r="E79" t="s">
        <v>29</v>
      </c>
      <c r="F79">
        <v>7</v>
      </c>
      <c r="G79">
        <v>23799.83</v>
      </c>
      <c r="H79">
        <v>26</v>
      </c>
      <c r="I79">
        <v>52</v>
      </c>
    </row>
    <row r="80" spans="1:9" x14ac:dyDescent="0.25">
      <c r="A80" t="s">
        <v>105</v>
      </c>
      <c r="B80" t="s">
        <v>36</v>
      </c>
      <c r="C80" t="s">
        <v>41</v>
      </c>
      <c r="D80" t="s">
        <v>12</v>
      </c>
      <c r="E80" t="s">
        <v>29</v>
      </c>
      <c r="F80">
        <v>49</v>
      </c>
      <c r="G80">
        <v>117019.47</v>
      </c>
      <c r="H80">
        <v>28</v>
      </c>
      <c r="I80">
        <v>63</v>
      </c>
    </row>
    <row r="81" spans="1:9" x14ac:dyDescent="0.25">
      <c r="A81" t="s">
        <v>106</v>
      </c>
      <c r="B81" t="s">
        <v>36</v>
      </c>
      <c r="C81" t="s">
        <v>11</v>
      </c>
      <c r="D81" t="s">
        <v>32</v>
      </c>
      <c r="E81" t="s">
        <v>29</v>
      </c>
      <c r="F81">
        <v>12</v>
      </c>
      <c r="G81">
        <v>69472.05</v>
      </c>
      <c r="H81">
        <v>11</v>
      </c>
      <c r="I81">
        <v>68</v>
      </c>
    </row>
    <row r="82" spans="1:9" x14ac:dyDescent="0.25">
      <c r="A82" t="s">
        <v>107</v>
      </c>
      <c r="B82" t="s">
        <v>25</v>
      </c>
      <c r="C82" t="s">
        <v>11</v>
      </c>
      <c r="D82" t="s">
        <v>32</v>
      </c>
      <c r="E82" t="s">
        <v>13</v>
      </c>
      <c r="F82">
        <v>5</v>
      </c>
      <c r="G82">
        <v>64103.040000000001</v>
      </c>
      <c r="H82">
        <v>14</v>
      </c>
      <c r="I82">
        <v>42</v>
      </c>
    </row>
    <row r="83" spans="1:9" x14ac:dyDescent="0.25">
      <c r="A83" t="s">
        <v>108</v>
      </c>
      <c r="B83" t="s">
        <v>22</v>
      </c>
      <c r="C83" t="s">
        <v>11</v>
      </c>
      <c r="D83" t="s">
        <v>12</v>
      </c>
      <c r="E83" t="s">
        <v>29</v>
      </c>
      <c r="F83">
        <v>13</v>
      </c>
      <c r="G83">
        <v>137441.75</v>
      </c>
      <c r="H83">
        <v>23</v>
      </c>
      <c r="I83">
        <v>74</v>
      </c>
    </row>
    <row r="84" spans="1:9" x14ac:dyDescent="0.25">
      <c r="A84" t="s">
        <v>109</v>
      </c>
      <c r="B84" t="s">
        <v>25</v>
      </c>
      <c r="C84" t="s">
        <v>11</v>
      </c>
      <c r="D84" t="s">
        <v>23</v>
      </c>
      <c r="E84" t="s">
        <v>13</v>
      </c>
      <c r="F84">
        <v>71</v>
      </c>
      <c r="G84">
        <v>11066.61</v>
      </c>
      <c r="H84">
        <v>17</v>
      </c>
      <c r="I84">
        <v>86</v>
      </c>
    </row>
    <row r="85" spans="1:9" x14ac:dyDescent="0.25">
      <c r="A85" t="s">
        <v>110</v>
      </c>
      <c r="B85" t="s">
        <v>31</v>
      </c>
      <c r="C85" t="s">
        <v>16</v>
      </c>
      <c r="D85" t="s">
        <v>26</v>
      </c>
      <c r="E85" t="s">
        <v>13</v>
      </c>
      <c r="F85">
        <v>87</v>
      </c>
      <c r="G85">
        <v>36726.76</v>
      </c>
      <c r="H85">
        <v>4</v>
      </c>
      <c r="I85">
        <v>53</v>
      </c>
    </row>
    <row r="86" spans="1:9" x14ac:dyDescent="0.25">
      <c r="A86" t="s">
        <v>111</v>
      </c>
      <c r="B86" t="s">
        <v>15</v>
      </c>
      <c r="C86" t="s">
        <v>16</v>
      </c>
      <c r="D86" t="s">
        <v>17</v>
      </c>
      <c r="E86" t="s">
        <v>29</v>
      </c>
      <c r="F86">
        <v>40</v>
      </c>
      <c r="G86">
        <v>19717.900000000001</v>
      </c>
      <c r="H86">
        <v>20</v>
      </c>
      <c r="I86">
        <v>63</v>
      </c>
    </row>
    <row r="87" spans="1:9" x14ac:dyDescent="0.25">
      <c r="A87" t="s">
        <v>112</v>
      </c>
      <c r="B87" t="s">
        <v>36</v>
      </c>
      <c r="C87" t="s">
        <v>16</v>
      </c>
      <c r="D87" t="s">
        <v>26</v>
      </c>
      <c r="E87" t="s">
        <v>29</v>
      </c>
      <c r="F87">
        <v>63</v>
      </c>
      <c r="G87">
        <v>82657.039999999994</v>
      </c>
      <c r="H87">
        <v>4</v>
      </c>
      <c r="I87">
        <v>55</v>
      </c>
    </row>
    <row r="88" spans="1:9" x14ac:dyDescent="0.25">
      <c r="A88" t="s">
        <v>113</v>
      </c>
      <c r="B88" t="s">
        <v>15</v>
      </c>
      <c r="C88" t="s">
        <v>16</v>
      </c>
      <c r="D88" t="s">
        <v>17</v>
      </c>
      <c r="E88" t="s">
        <v>29</v>
      </c>
      <c r="F88">
        <v>1</v>
      </c>
      <c r="G88">
        <v>16874.009999999998</v>
      </c>
      <c r="H88">
        <v>14</v>
      </c>
      <c r="I88">
        <v>76</v>
      </c>
    </row>
    <row r="89" spans="1:9" x14ac:dyDescent="0.25">
      <c r="A89" t="s">
        <v>114</v>
      </c>
      <c r="B89" t="s">
        <v>15</v>
      </c>
      <c r="C89" t="s">
        <v>41</v>
      </c>
      <c r="D89" t="s">
        <v>12</v>
      </c>
      <c r="E89" t="s">
        <v>18</v>
      </c>
      <c r="F89">
        <v>37</v>
      </c>
      <c r="G89">
        <v>8578.83</v>
      </c>
      <c r="H89">
        <v>2</v>
      </c>
      <c r="I89">
        <v>90</v>
      </c>
    </row>
    <row r="90" spans="1:9" x14ac:dyDescent="0.25">
      <c r="A90" t="s">
        <v>115</v>
      </c>
      <c r="B90" t="s">
        <v>36</v>
      </c>
      <c r="C90" t="s">
        <v>11</v>
      </c>
      <c r="D90" t="s">
        <v>17</v>
      </c>
      <c r="E90" t="s">
        <v>18</v>
      </c>
      <c r="F90">
        <v>7</v>
      </c>
      <c r="G90">
        <v>22311.39</v>
      </c>
      <c r="H90">
        <v>14</v>
      </c>
      <c r="I90">
        <v>86</v>
      </c>
    </row>
    <row r="91" spans="1:9" x14ac:dyDescent="0.25">
      <c r="A91" t="s">
        <v>116</v>
      </c>
      <c r="B91" t="s">
        <v>25</v>
      </c>
      <c r="C91" t="s">
        <v>41</v>
      </c>
      <c r="D91" t="s">
        <v>12</v>
      </c>
      <c r="E91" t="s">
        <v>29</v>
      </c>
      <c r="F91">
        <v>46</v>
      </c>
      <c r="G91">
        <v>128560.01</v>
      </c>
      <c r="H91">
        <v>7</v>
      </c>
      <c r="I91">
        <v>52</v>
      </c>
    </row>
    <row r="92" spans="1:9" x14ac:dyDescent="0.25">
      <c r="A92" t="s">
        <v>117</v>
      </c>
      <c r="B92" t="s">
        <v>31</v>
      </c>
      <c r="C92" t="s">
        <v>11</v>
      </c>
      <c r="D92" t="s">
        <v>23</v>
      </c>
      <c r="E92" t="s">
        <v>29</v>
      </c>
      <c r="F92">
        <v>30</v>
      </c>
      <c r="G92">
        <v>147742.63</v>
      </c>
      <c r="H92">
        <v>28</v>
      </c>
      <c r="I92">
        <v>62</v>
      </c>
    </row>
    <row r="93" spans="1:9" x14ac:dyDescent="0.25">
      <c r="A93" t="s">
        <v>118</v>
      </c>
      <c r="B93" t="s">
        <v>15</v>
      </c>
      <c r="C93" t="s">
        <v>11</v>
      </c>
      <c r="D93" t="s">
        <v>17</v>
      </c>
      <c r="E93" t="s">
        <v>29</v>
      </c>
      <c r="F93">
        <v>66</v>
      </c>
      <c r="G93">
        <v>54562.1</v>
      </c>
      <c r="H93">
        <v>21</v>
      </c>
      <c r="I93">
        <v>86</v>
      </c>
    </row>
    <row r="94" spans="1:9" x14ac:dyDescent="0.25">
      <c r="A94" t="s">
        <v>119</v>
      </c>
      <c r="B94" t="s">
        <v>36</v>
      </c>
      <c r="C94" t="s">
        <v>28</v>
      </c>
      <c r="D94" t="s">
        <v>23</v>
      </c>
      <c r="E94" t="s">
        <v>29</v>
      </c>
      <c r="F94">
        <v>1</v>
      </c>
      <c r="G94">
        <v>146289.26999999999</v>
      </c>
      <c r="H94">
        <v>17</v>
      </c>
      <c r="I94">
        <v>47</v>
      </c>
    </row>
    <row r="95" spans="1:9" x14ac:dyDescent="0.25">
      <c r="A95" t="s">
        <v>120</v>
      </c>
      <c r="B95" t="s">
        <v>31</v>
      </c>
      <c r="C95" t="s">
        <v>41</v>
      </c>
      <c r="D95" t="s">
        <v>32</v>
      </c>
      <c r="E95" t="s">
        <v>29</v>
      </c>
      <c r="F95">
        <v>89</v>
      </c>
      <c r="G95">
        <v>128840.81</v>
      </c>
      <c r="H95">
        <v>22</v>
      </c>
      <c r="I95">
        <v>81</v>
      </c>
    </row>
    <row r="96" spans="1:9" x14ac:dyDescent="0.25">
      <c r="A96" t="s">
        <v>121</v>
      </c>
      <c r="B96" t="s">
        <v>22</v>
      </c>
      <c r="C96" t="s">
        <v>16</v>
      </c>
      <c r="D96" t="s">
        <v>17</v>
      </c>
      <c r="E96" t="s">
        <v>29</v>
      </c>
      <c r="F96">
        <v>48</v>
      </c>
      <c r="G96">
        <v>19629.22</v>
      </c>
      <c r="H96">
        <v>2</v>
      </c>
      <c r="I96">
        <v>95</v>
      </c>
    </row>
    <row r="97" spans="1:9" x14ac:dyDescent="0.25">
      <c r="A97" t="s">
        <v>122</v>
      </c>
      <c r="B97" t="s">
        <v>31</v>
      </c>
      <c r="C97" t="s">
        <v>28</v>
      </c>
      <c r="D97" t="s">
        <v>32</v>
      </c>
      <c r="E97" t="s">
        <v>13</v>
      </c>
      <c r="F97">
        <v>59</v>
      </c>
      <c r="G97">
        <v>73629.03</v>
      </c>
      <c r="H97">
        <v>10</v>
      </c>
      <c r="I97">
        <v>85</v>
      </c>
    </row>
    <row r="98" spans="1:9" x14ac:dyDescent="0.25">
      <c r="A98" t="s">
        <v>123</v>
      </c>
      <c r="B98" t="s">
        <v>25</v>
      </c>
      <c r="C98" t="s">
        <v>16</v>
      </c>
      <c r="D98" t="s">
        <v>32</v>
      </c>
      <c r="E98" t="s">
        <v>29</v>
      </c>
      <c r="F98">
        <v>54</v>
      </c>
      <c r="G98">
        <v>100747.7</v>
      </c>
      <c r="H98">
        <v>12</v>
      </c>
      <c r="I98">
        <v>74</v>
      </c>
    </row>
    <row r="99" spans="1:9" x14ac:dyDescent="0.25">
      <c r="A99" t="s">
        <v>124</v>
      </c>
      <c r="B99" t="s">
        <v>15</v>
      </c>
      <c r="C99" t="s">
        <v>11</v>
      </c>
      <c r="D99" t="s">
        <v>12</v>
      </c>
      <c r="E99" t="s">
        <v>29</v>
      </c>
      <c r="F99">
        <v>35</v>
      </c>
      <c r="G99">
        <v>85523.17</v>
      </c>
      <c r="H99">
        <v>30</v>
      </c>
      <c r="I99">
        <v>90</v>
      </c>
    </row>
    <row r="100" spans="1:9" x14ac:dyDescent="0.25">
      <c r="A100" t="s">
        <v>125</v>
      </c>
      <c r="B100" t="s">
        <v>31</v>
      </c>
      <c r="C100" t="s">
        <v>16</v>
      </c>
      <c r="D100" t="s">
        <v>23</v>
      </c>
      <c r="E100" t="s">
        <v>29</v>
      </c>
      <c r="F100">
        <v>33</v>
      </c>
      <c r="G100">
        <v>79151.14</v>
      </c>
      <c r="H100">
        <v>2</v>
      </c>
      <c r="I100">
        <v>56</v>
      </c>
    </row>
    <row r="101" spans="1:9" x14ac:dyDescent="0.25">
      <c r="A101" t="s">
        <v>126</v>
      </c>
      <c r="B101" t="s">
        <v>36</v>
      </c>
      <c r="C101" t="s">
        <v>11</v>
      </c>
      <c r="D101" t="s">
        <v>23</v>
      </c>
      <c r="E101" t="s">
        <v>13</v>
      </c>
      <c r="F101">
        <v>30</v>
      </c>
      <c r="G101">
        <v>115395.67</v>
      </c>
      <c r="H101">
        <v>11</v>
      </c>
      <c r="I101">
        <v>74</v>
      </c>
    </row>
    <row r="102" spans="1:9" x14ac:dyDescent="0.25">
      <c r="A102" t="s">
        <v>127</v>
      </c>
      <c r="B102" t="s">
        <v>22</v>
      </c>
      <c r="C102" t="s">
        <v>28</v>
      </c>
      <c r="D102" t="s">
        <v>12</v>
      </c>
      <c r="E102" t="s">
        <v>13</v>
      </c>
      <c r="F102">
        <v>60</v>
      </c>
      <c r="G102">
        <v>49131.44</v>
      </c>
      <c r="H102">
        <v>2</v>
      </c>
      <c r="I102">
        <v>44</v>
      </c>
    </row>
    <row r="103" spans="1:9" x14ac:dyDescent="0.25">
      <c r="A103" t="s">
        <v>128</v>
      </c>
      <c r="B103" t="s">
        <v>31</v>
      </c>
      <c r="C103" t="s">
        <v>11</v>
      </c>
      <c r="D103" t="s">
        <v>23</v>
      </c>
      <c r="E103" t="s">
        <v>29</v>
      </c>
      <c r="F103">
        <v>70</v>
      </c>
      <c r="G103">
        <v>58132.5</v>
      </c>
      <c r="H103">
        <v>25</v>
      </c>
      <c r="I103">
        <v>43</v>
      </c>
    </row>
    <row r="104" spans="1:9" x14ac:dyDescent="0.25">
      <c r="A104" t="s">
        <v>129</v>
      </c>
      <c r="B104" t="s">
        <v>36</v>
      </c>
      <c r="C104" t="s">
        <v>41</v>
      </c>
      <c r="D104" t="s">
        <v>12</v>
      </c>
      <c r="E104" t="s">
        <v>13</v>
      </c>
      <c r="F104">
        <v>6</v>
      </c>
      <c r="G104">
        <v>77311.77</v>
      </c>
      <c r="H104">
        <v>19</v>
      </c>
      <c r="I104">
        <v>90</v>
      </c>
    </row>
    <row r="105" spans="1:9" x14ac:dyDescent="0.25">
      <c r="A105" t="s">
        <v>130</v>
      </c>
      <c r="B105" t="s">
        <v>25</v>
      </c>
      <c r="C105" t="s">
        <v>28</v>
      </c>
      <c r="D105" t="s">
        <v>32</v>
      </c>
      <c r="E105" t="s">
        <v>29</v>
      </c>
      <c r="F105">
        <v>70</v>
      </c>
      <c r="G105">
        <v>14270.62</v>
      </c>
      <c r="H105">
        <v>24</v>
      </c>
      <c r="I105">
        <v>43</v>
      </c>
    </row>
    <row r="106" spans="1:9" x14ac:dyDescent="0.25">
      <c r="A106" t="s">
        <v>131</v>
      </c>
      <c r="B106" t="s">
        <v>15</v>
      </c>
      <c r="C106" t="s">
        <v>28</v>
      </c>
      <c r="D106" t="s">
        <v>26</v>
      </c>
      <c r="E106" t="s">
        <v>13</v>
      </c>
      <c r="F106">
        <v>52</v>
      </c>
      <c r="G106">
        <v>97685.72</v>
      </c>
      <c r="H106">
        <v>28</v>
      </c>
      <c r="I106">
        <v>59</v>
      </c>
    </row>
    <row r="107" spans="1:9" x14ac:dyDescent="0.25">
      <c r="A107" t="s">
        <v>132</v>
      </c>
      <c r="B107" t="s">
        <v>10</v>
      </c>
      <c r="C107" t="s">
        <v>16</v>
      </c>
      <c r="D107" t="s">
        <v>23</v>
      </c>
      <c r="E107" t="s">
        <v>18</v>
      </c>
      <c r="F107">
        <v>64</v>
      </c>
      <c r="G107">
        <v>142687.47</v>
      </c>
      <c r="H107">
        <v>27</v>
      </c>
      <c r="I107">
        <v>80</v>
      </c>
    </row>
    <row r="108" spans="1:9" x14ac:dyDescent="0.25">
      <c r="A108" t="s">
        <v>133</v>
      </c>
      <c r="B108" t="s">
        <v>31</v>
      </c>
      <c r="C108" t="s">
        <v>28</v>
      </c>
      <c r="D108" t="s">
        <v>17</v>
      </c>
      <c r="E108" t="s">
        <v>29</v>
      </c>
      <c r="F108">
        <v>35</v>
      </c>
      <c r="G108">
        <v>36754.51</v>
      </c>
      <c r="H108">
        <v>27</v>
      </c>
      <c r="I108">
        <v>49</v>
      </c>
    </row>
    <row r="109" spans="1:9" x14ac:dyDescent="0.25">
      <c r="A109" t="s">
        <v>134</v>
      </c>
      <c r="B109" t="s">
        <v>15</v>
      </c>
      <c r="C109" t="s">
        <v>16</v>
      </c>
      <c r="D109" t="s">
        <v>17</v>
      </c>
      <c r="E109" t="s">
        <v>29</v>
      </c>
      <c r="F109">
        <v>62</v>
      </c>
      <c r="G109">
        <v>34938.57</v>
      </c>
      <c r="H109">
        <v>8</v>
      </c>
      <c r="I109">
        <v>70</v>
      </c>
    </row>
    <row r="110" spans="1:9" x14ac:dyDescent="0.25">
      <c r="A110" t="s">
        <v>135</v>
      </c>
      <c r="B110" t="s">
        <v>22</v>
      </c>
      <c r="C110" t="s">
        <v>28</v>
      </c>
      <c r="D110" t="s">
        <v>12</v>
      </c>
      <c r="E110" t="s">
        <v>13</v>
      </c>
      <c r="F110">
        <v>22</v>
      </c>
      <c r="G110">
        <v>97228.49</v>
      </c>
      <c r="H110">
        <v>7</v>
      </c>
      <c r="I110">
        <v>60</v>
      </c>
    </row>
    <row r="111" spans="1:9" x14ac:dyDescent="0.25">
      <c r="A111" t="s">
        <v>136</v>
      </c>
      <c r="B111" t="s">
        <v>25</v>
      </c>
      <c r="C111" t="s">
        <v>28</v>
      </c>
      <c r="D111" t="s">
        <v>17</v>
      </c>
      <c r="E111" t="s">
        <v>13</v>
      </c>
      <c r="F111">
        <v>42</v>
      </c>
      <c r="G111">
        <v>91441.1</v>
      </c>
      <c r="H111">
        <v>22</v>
      </c>
      <c r="I111">
        <v>84</v>
      </c>
    </row>
    <row r="112" spans="1:9" x14ac:dyDescent="0.25">
      <c r="A112" t="s">
        <v>137</v>
      </c>
      <c r="B112" t="s">
        <v>10</v>
      </c>
      <c r="C112" t="s">
        <v>41</v>
      </c>
      <c r="D112" t="s">
        <v>32</v>
      </c>
      <c r="E112" t="s">
        <v>13</v>
      </c>
      <c r="F112">
        <v>24</v>
      </c>
      <c r="G112">
        <v>139624.06</v>
      </c>
      <c r="H112">
        <v>5</v>
      </c>
      <c r="I112">
        <v>55</v>
      </c>
    </row>
    <row r="113" spans="1:9" x14ac:dyDescent="0.25">
      <c r="A113" t="s">
        <v>138</v>
      </c>
      <c r="B113" t="s">
        <v>25</v>
      </c>
      <c r="C113" t="s">
        <v>16</v>
      </c>
      <c r="D113" t="s">
        <v>12</v>
      </c>
      <c r="E113" t="s">
        <v>29</v>
      </c>
      <c r="F113">
        <v>17</v>
      </c>
      <c r="G113">
        <v>86650.5</v>
      </c>
      <c r="H113">
        <v>3</v>
      </c>
      <c r="I113">
        <v>53</v>
      </c>
    </row>
    <row r="114" spans="1:9" x14ac:dyDescent="0.25">
      <c r="A114" t="s">
        <v>139</v>
      </c>
      <c r="B114" t="s">
        <v>31</v>
      </c>
      <c r="C114" t="s">
        <v>11</v>
      </c>
      <c r="D114" t="s">
        <v>17</v>
      </c>
      <c r="E114" t="s">
        <v>18</v>
      </c>
      <c r="F114">
        <v>75</v>
      </c>
      <c r="G114">
        <v>85517.09</v>
      </c>
      <c r="H114">
        <v>6</v>
      </c>
      <c r="I114">
        <v>79</v>
      </c>
    </row>
    <row r="115" spans="1:9" x14ac:dyDescent="0.25">
      <c r="A115" t="s">
        <v>140</v>
      </c>
      <c r="B115" t="s">
        <v>10</v>
      </c>
      <c r="C115" t="s">
        <v>11</v>
      </c>
      <c r="D115" t="s">
        <v>17</v>
      </c>
      <c r="E115" t="s">
        <v>13</v>
      </c>
      <c r="F115">
        <v>47</v>
      </c>
      <c r="G115">
        <v>134120.62</v>
      </c>
      <c r="H115">
        <v>11</v>
      </c>
      <c r="I115">
        <v>92</v>
      </c>
    </row>
    <row r="116" spans="1:9" x14ac:dyDescent="0.25">
      <c r="A116" t="s">
        <v>141</v>
      </c>
      <c r="B116" t="s">
        <v>22</v>
      </c>
      <c r="C116" t="s">
        <v>41</v>
      </c>
      <c r="D116" t="s">
        <v>23</v>
      </c>
      <c r="E116" t="s">
        <v>29</v>
      </c>
      <c r="F116">
        <v>81</v>
      </c>
      <c r="G116">
        <v>22593.06</v>
      </c>
      <c r="H116">
        <v>6</v>
      </c>
      <c r="I116">
        <v>67</v>
      </c>
    </row>
    <row r="117" spans="1:9" x14ac:dyDescent="0.25">
      <c r="A117" t="s">
        <v>142</v>
      </c>
      <c r="B117" t="s">
        <v>10</v>
      </c>
      <c r="C117" t="s">
        <v>28</v>
      </c>
      <c r="D117" t="s">
        <v>23</v>
      </c>
      <c r="E117" t="s">
        <v>18</v>
      </c>
      <c r="F117">
        <v>20</v>
      </c>
      <c r="G117">
        <v>88741.64</v>
      </c>
      <c r="H117">
        <v>26</v>
      </c>
      <c r="I117">
        <v>99</v>
      </c>
    </row>
    <row r="118" spans="1:9" x14ac:dyDescent="0.25">
      <c r="A118" t="s">
        <v>143</v>
      </c>
      <c r="B118" t="s">
        <v>10</v>
      </c>
      <c r="C118" t="s">
        <v>16</v>
      </c>
      <c r="D118" t="s">
        <v>17</v>
      </c>
      <c r="E118" t="s">
        <v>18</v>
      </c>
      <c r="F118">
        <v>14</v>
      </c>
      <c r="G118">
        <v>10917.19</v>
      </c>
      <c r="H118">
        <v>22</v>
      </c>
      <c r="I118">
        <v>43</v>
      </c>
    </row>
    <row r="119" spans="1:9" x14ac:dyDescent="0.25">
      <c r="A119" t="s">
        <v>144</v>
      </c>
      <c r="B119" t="s">
        <v>10</v>
      </c>
      <c r="C119" t="s">
        <v>41</v>
      </c>
      <c r="D119" t="s">
        <v>32</v>
      </c>
      <c r="E119" t="s">
        <v>13</v>
      </c>
      <c r="F119">
        <v>30</v>
      </c>
      <c r="G119">
        <v>97613.71</v>
      </c>
      <c r="H119">
        <v>24</v>
      </c>
      <c r="I119">
        <v>72</v>
      </c>
    </row>
    <row r="120" spans="1:9" x14ac:dyDescent="0.25">
      <c r="A120" t="s">
        <v>145</v>
      </c>
      <c r="B120" t="s">
        <v>36</v>
      </c>
      <c r="C120" t="s">
        <v>41</v>
      </c>
      <c r="D120" t="s">
        <v>23</v>
      </c>
      <c r="E120" t="s">
        <v>13</v>
      </c>
      <c r="F120">
        <v>81</v>
      </c>
      <c r="G120">
        <v>135711.26999999999</v>
      </c>
      <c r="H120">
        <v>14</v>
      </c>
      <c r="I120">
        <v>99</v>
      </c>
    </row>
    <row r="121" spans="1:9" x14ac:dyDescent="0.25">
      <c r="A121" t="s">
        <v>146</v>
      </c>
      <c r="B121" t="s">
        <v>15</v>
      </c>
      <c r="C121" t="s">
        <v>16</v>
      </c>
      <c r="D121" t="s">
        <v>23</v>
      </c>
      <c r="E121" t="s">
        <v>13</v>
      </c>
      <c r="F121">
        <v>48</v>
      </c>
      <c r="G121">
        <v>117464.18</v>
      </c>
      <c r="H121">
        <v>2</v>
      </c>
      <c r="I121">
        <v>61</v>
      </c>
    </row>
    <row r="122" spans="1:9" x14ac:dyDescent="0.25">
      <c r="A122" t="s">
        <v>147</v>
      </c>
      <c r="B122" t="s">
        <v>22</v>
      </c>
      <c r="C122" t="s">
        <v>16</v>
      </c>
      <c r="D122" t="s">
        <v>23</v>
      </c>
      <c r="E122" t="s">
        <v>29</v>
      </c>
      <c r="F122">
        <v>45</v>
      </c>
      <c r="G122">
        <v>89474.55</v>
      </c>
      <c r="H122">
        <v>21</v>
      </c>
      <c r="I122">
        <v>64</v>
      </c>
    </row>
    <row r="123" spans="1:9" x14ac:dyDescent="0.25">
      <c r="A123" t="s">
        <v>148</v>
      </c>
      <c r="B123" t="s">
        <v>10</v>
      </c>
      <c r="C123" t="s">
        <v>41</v>
      </c>
      <c r="D123" t="s">
        <v>32</v>
      </c>
      <c r="E123" t="s">
        <v>29</v>
      </c>
      <c r="F123">
        <v>1</v>
      </c>
      <c r="G123">
        <v>105954.09</v>
      </c>
      <c r="H123">
        <v>12</v>
      </c>
      <c r="I123">
        <v>95</v>
      </c>
    </row>
    <row r="124" spans="1:9" x14ac:dyDescent="0.25">
      <c r="A124" t="s">
        <v>149</v>
      </c>
      <c r="B124" t="s">
        <v>15</v>
      </c>
      <c r="C124" t="s">
        <v>28</v>
      </c>
      <c r="D124" t="s">
        <v>26</v>
      </c>
      <c r="E124" t="s">
        <v>13</v>
      </c>
      <c r="F124">
        <v>30</v>
      </c>
      <c r="G124">
        <v>91267.91</v>
      </c>
      <c r="H124">
        <v>17</v>
      </c>
      <c r="I124">
        <v>76</v>
      </c>
    </row>
    <row r="125" spans="1:9" x14ac:dyDescent="0.25">
      <c r="A125" t="s">
        <v>150</v>
      </c>
      <c r="B125" t="s">
        <v>36</v>
      </c>
      <c r="C125" t="s">
        <v>11</v>
      </c>
      <c r="D125" t="s">
        <v>26</v>
      </c>
      <c r="E125" t="s">
        <v>13</v>
      </c>
      <c r="F125">
        <v>3</v>
      </c>
      <c r="G125">
        <v>46506.94</v>
      </c>
      <c r="H125">
        <v>9</v>
      </c>
      <c r="I125">
        <v>72</v>
      </c>
    </row>
    <row r="126" spans="1:9" x14ac:dyDescent="0.25">
      <c r="A126" t="s">
        <v>151</v>
      </c>
      <c r="B126" t="s">
        <v>31</v>
      </c>
      <c r="C126" t="s">
        <v>41</v>
      </c>
      <c r="D126" t="s">
        <v>17</v>
      </c>
      <c r="E126" t="s">
        <v>13</v>
      </c>
      <c r="F126">
        <v>78</v>
      </c>
      <c r="G126">
        <v>40568.300000000003</v>
      </c>
      <c r="H126">
        <v>18</v>
      </c>
      <c r="I126">
        <v>91</v>
      </c>
    </row>
    <row r="127" spans="1:9" x14ac:dyDescent="0.25">
      <c r="A127" t="s">
        <v>152</v>
      </c>
      <c r="B127" t="s">
        <v>22</v>
      </c>
      <c r="C127" t="s">
        <v>11</v>
      </c>
      <c r="D127" t="s">
        <v>32</v>
      </c>
      <c r="E127" t="s">
        <v>18</v>
      </c>
      <c r="F127">
        <v>35</v>
      </c>
      <c r="G127">
        <v>132265.98000000001</v>
      </c>
      <c r="H127">
        <v>7</v>
      </c>
      <c r="I127">
        <v>45</v>
      </c>
    </row>
    <row r="128" spans="1:9" x14ac:dyDescent="0.25">
      <c r="A128" t="s">
        <v>153</v>
      </c>
      <c r="B128" t="s">
        <v>15</v>
      </c>
      <c r="C128" t="s">
        <v>41</v>
      </c>
      <c r="D128" t="s">
        <v>23</v>
      </c>
      <c r="E128" t="s">
        <v>18</v>
      </c>
      <c r="F128">
        <v>88</v>
      </c>
      <c r="G128">
        <v>50993.47</v>
      </c>
      <c r="H128">
        <v>4</v>
      </c>
      <c r="I128">
        <v>82</v>
      </c>
    </row>
    <row r="129" spans="1:9" x14ac:dyDescent="0.25">
      <c r="A129" t="s">
        <v>154</v>
      </c>
      <c r="B129" t="s">
        <v>22</v>
      </c>
      <c r="C129" t="s">
        <v>41</v>
      </c>
      <c r="D129" t="s">
        <v>17</v>
      </c>
      <c r="E129" t="s">
        <v>18</v>
      </c>
      <c r="F129">
        <v>7</v>
      </c>
      <c r="G129">
        <v>135590.48000000001</v>
      </c>
      <c r="H129">
        <v>6</v>
      </c>
      <c r="I129">
        <v>46</v>
      </c>
    </row>
    <row r="130" spans="1:9" x14ac:dyDescent="0.25">
      <c r="A130" t="s">
        <v>155</v>
      </c>
      <c r="B130" t="s">
        <v>15</v>
      </c>
      <c r="C130" t="s">
        <v>41</v>
      </c>
      <c r="D130" t="s">
        <v>32</v>
      </c>
      <c r="E130" t="s">
        <v>13</v>
      </c>
      <c r="F130">
        <v>73</v>
      </c>
      <c r="G130">
        <v>148956.56</v>
      </c>
      <c r="H130">
        <v>6</v>
      </c>
      <c r="I130">
        <v>100</v>
      </c>
    </row>
    <row r="131" spans="1:9" x14ac:dyDescent="0.25">
      <c r="A131" t="s">
        <v>156</v>
      </c>
      <c r="B131" t="s">
        <v>25</v>
      </c>
      <c r="C131" t="s">
        <v>16</v>
      </c>
      <c r="D131" t="s">
        <v>12</v>
      </c>
      <c r="E131" t="s">
        <v>18</v>
      </c>
      <c r="F131">
        <v>83</v>
      </c>
      <c r="G131">
        <v>71584.960000000006</v>
      </c>
      <c r="H131">
        <v>26</v>
      </c>
      <c r="I131">
        <v>55</v>
      </c>
    </row>
    <row r="132" spans="1:9" x14ac:dyDescent="0.25">
      <c r="A132" t="s">
        <v>157</v>
      </c>
      <c r="B132" t="s">
        <v>22</v>
      </c>
      <c r="C132" t="s">
        <v>28</v>
      </c>
      <c r="D132" t="s">
        <v>17</v>
      </c>
      <c r="E132" t="s">
        <v>29</v>
      </c>
      <c r="F132">
        <v>37</v>
      </c>
      <c r="G132">
        <v>78613.16</v>
      </c>
      <c r="H132">
        <v>20</v>
      </c>
      <c r="I132">
        <v>85</v>
      </c>
    </row>
    <row r="133" spans="1:9" x14ac:dyDescent="0.25">
      <c r="A133" t="s">
        <v>158</v>
      </c>
      <c r="B133" t="s">
        <v>22</v>
      </c>
      <c r="C133" t="s">
        <v>11</v>
      </c>
      <c r="D133" t="s">
        <v>23</v>
      </c>
      <c r="E133" t="s">
        <v>18</v>
      </c>
      <c r="F133">
        <v>53</v>
      </c>
      <c r="G133">
        <v>103548.4</v>
      </c>
      <c r="H133">
        <v>27</v>
      </c>
      <c r="I133">
        <v>74</v>
      </c>
    </row>
    <row r="134" spans="1:9" x14ac:dyDescent="0.25">
      <c r="A134" t="s">
        <v>159</v>
      </c>
      <c r="B134" t="s">
        <v>31</v>
      </c>
      <c r="C134" t="s">
        <v>11</v>
      </c>
      <c r="D134" t="s">
        <v>32</v>
      </c>
      <c r="E134" t="s">
        <v>29</v>
      </c>
      <c r="F134">
        <v>50</v>
      </c>
      <c r="G134">
        <v>62134.18</v>
      </c>
      <c r="H134">
        <v>13</v>
      </c>
      <c r="I134">
        <v>40</v>
      </c>
    </row>
    <row r="135" spans="1:9" x14ac:dyDescent="0.25">
      <c r="A135" t="s">
        <v>160</v>
      </c>
      <c r="B135" t="s">
        <v>36</v>
      </c>
      <c r="C135" t="s">
        <v>41</v>
      </c>
      <c r="D135" t="s">
        <v>32</v>
      </c>
      <c r="E135" t="s">
        <v>18</v>
      </c>
      <c r="F135">
        <v>7</v>
      </c>
      <c r="G135">
        <v>59235.13</v>
      </c>
      <c r="H135">
        <v>12</v>
      </c>
      <c r="I135">
        <v>42</v>
      </c>
    </row>
    <row r="136" spans="1:9" x14ac:dyDescent="0.25">
      <c r="A136" t="s">
        <v>161</v>
      </c>
      <c r="B136" t="s">
        <v>10</v>
      </c>
      <c r="C136" t="s">
        <v>28</v>
      </c>
      <c r="D136" t="s">
        <v>32</v>
      </c>
      <c r="E136" t="s">
        <v>18</v>
      </c>
      <c r="F136">
        <v>38</v>
      </c>
      <c r="G136">
        <v>118022.05</v>
      </c>
      <c r="H136">
        <v>17</v>
      </c>
      <c r="I136">
        <v>79</v>
      </c>
    </row>
    <row r="137" spans="1:9" x14ac:dyDescent="0.25">
      <c r="A137" t="s">
        <v>162</v>
      </c>
      <c r="B137" t="s">
        <v>25</v>
      </c>
      <c r="C137" t="s">
        <v>11</v>
      </c>
      <c r="D137" t="s">
        <v>26</v>
      </c>
      <c r="E137" t="s">
        <v>13</v>
      </c>
      <c r="F137">
        <v>49</v>
      </c>
      <c r="G137">
        <v>127750.62</v>
      </c>
      <c r="H137">
        <v>18</v>
      </c>
      <c r="I137">
        <v>60</v>
      </c>
    </row>
    <row r="138" spans="1:9" x14ac:dyDescent="0.25">
      <c r="A138" t="s">
        <v>163</v>
      </c>
      <c r="B138" t="s">
        <v>15</v>
      </c>
      <c r="C138" t="s">
        <v>28</v>
      </c>
      <c r="D138" t="s">
        <v>17</v>
      </c>
      <c r="E138" t="s">
        <v>29</v>
      </c>
      <c r="F138">
        <v>27</v>
      </c>
      <c r="G138">
        <v>79666.86</v>
      </c>
      <c r="H138">
        <v>16</v>
      </c>
      <c r="I138">
        <v>85</v>
      </c>
    </row>
    <row r="139" spans="1:9" x14ac:dyDescent="0.25">
      <c r="A139" t="s">
        <v>164</v>
      </c>
      <c r="B139" t="s">
        <v>22</v>
      </c>
      <c r="C139" t="s">
        <v>41</v>
      </c>
      <c r="D139" t="s">
        <v>12</v>
      </c>
      <c r="E139" t="s">
        <v>13</v>
      </c>
      <c r="F139">
        <v>65</v>
      </c>
      <c r="G139">
        <v>120956.04</v>
      </c>
      <c r="H139">
        <v>25</v>
      </c>
      <c r="I139">
        <v>95</v>
      </c>
    </row>
    <row r="140" spans="1:9" x14ac:dyDescent="0.25">
      <c r="A140" t="s">
        <v>165</v>
      </c>
      <c r="B140" t="s">
        <v>10</v>
      </c>
      <c r="C140" t="s">
        <v>28</v>
      </c>
      <c r="D140" t="s">
        <v>26</v>
      </c>
      <c r="E140" t="s">
        <v>18</v>
      </c>
      <c r="F140">
        <v>58</v>
      </c>
      <c r="G140">
        <v>100338.81</v>
      </c>
      <c r="H140">
        <v>7</v>
      </c>
      <c r="I140">
        <v>59</v>
      </c>
    </row>
    <row r="141" spans="1:9" x14ac:dyDescent="0.25">
      <c r="A141" t="s">
        <v>166</v>
      </c>
      <c r="B141" t="s">
        <v>31</v>
      </c>
      <c r="C141" t="s">
        <v>28</v>
      </c>
      <c r="D141" t="s">
        <v>12</v>
      </c>
      <c r="E141" t="s">
        <v>13</v>
      </c>
      <c r="F141">
        <v>22</v>
      </c>
      <c r="G141">
        <v>120621.62</v>
      </c>
      <c r="H141">
        <v>21</v>
      </c>
      <c r="I141">
        <v>74</v>
      </c>
    </row>
    <row r="142" spans="1:9" x14ac:dyDescent="0.25">
      <c r="A142" t="s">
        <v>167</v>
      </c>
      <c r="B142" t="s">
        <v>10</v>
      </c>
      <c r="C142" t="s">
        <v>28</v>
      </c>
      <c r="D142" t="s">
        <v>23</v>
      </c>
      <c r="E142" t="s">
        <v>18</v>
      </c>
      <c r="F142">
        <v>10</v>
      </c>
      <c r="G142">
        <v>21143.75</v>
      </c>
      <c r="H142">
        <v>2</v>
      </c>
      <c r="I142">
        <v>42</v>
      </c>
    </row>
    <row r="143" spans="1:9" x14ac:dyDescent="0.25">
      <c r="A143" t="s">
        <v>168</v>
      </c>
      <c r="B143" t="s">
        <v>31</v>
      </c>
      <c r="C143" t="s">
        <v>28</v>
      </c>
      <c r="D143" t="s">
        <v>32</v>
      </c>
      <c r="E143" t="s">
        <v>29</v>
      </c>
      <c r="F143">
        <v>37</v>
      </c>
      <c r="G143">
        <v>58168.06</v>
      </c>
      <c r="H143">
        <v>3</v>
      </c>
      <c r="I143">
        <v>84</v>
      </c>
    </row>
    <row r="144" spans="1:9" x14ac:dyDescent="0.25">
      <c r="A144" t="s">
        <v>169</v>
      </c>
      <c r="B144" t="s">
        <v>15</v>
      </c>
      <c r="C144" t="s">
        <v>41</v>
      </c>
      <c r="D144" t="s">
        <v>32</v>
      </c>
      <c r="E144" t="s">
        <v>13</v>
      </c>
      <c r="F144">
        <v>57</v>
      </c>
      <c r="G144">
        <v>121600.57</v>
      </c>
      <c r="H144">
        <v>19</v>
      </c>
      <c r="I144">
        <v>94</v>
      </c>
    </row>
    <row r="145" spans="1:9" x14ac:dyDescent="0.25">
      <c r="A145" t="s">
        <v>170</v>
      </c>
      <c r="B145" t="s">
        <v>25</v>
      </c>
      <c r="C145" t="s">
        <v>16</v>
      </c>
      <c r="D145" t="s">
        <v>26</v>
      </c>
      <c r="E145" t="s">
        <v>18</v>
      </c>
      <c r="F145">
        <v>26</v>
      </c>
      <c r="G145">
        <v>60409.31</v>
      </c>
      <c r="H145">
        <v>25</v>
      </c>
      <c r="I145">
        <v>94</v>
      </c>
    </row>
    <row r="146" spans="1:9" x14ac:dyDescent="0.25">
      <c r="A146" t="s">
        <v>171</v>
      </c>
      <c r="B146" t="s">
        <v>10</v>
      </c>
      <c r="C146" t="s">
        <v>16</v>
      </c>
      <c r="D146" t="s">
        <v>23</v>
      </c>
      <c r="E146" t="s">
        <v>18</v>
      </c>
      <c r="F146">
        <v>51</v>
      </c>
      <c r="G146">
        <v>148766.01</v>
      </c>
      <c r="H146">
        <v>21</v>
      </c>
      <c r="I146">
        <v>76</v>
      </c>
    </row>
    <row r="147" spans="1:9" x14ac:dyDescent="0.25">
      <c r="A147" t="s">
        <v>172</v>
      </c>
      <c r="B147" t="s">
        <v>10</v>
      </c>
      <c r="C147" t="s">
        <v>28</v>
      </c>
      <c r="D147" t="s">
        <v>26</v>
      </c>
      <c r="E147" t="s">
        <v>18</v>
      </c>
      <c r="F147">
        <v>1</v>
      </c>
      <c r="G147">
        <v>46211.03</v>
      </c>
      <c r="H147">
        <v>4</v>
      </c>
      <c r="I147">
        <v>97</v>
      </c>
    </row>
    <row r="148" spans="1:9" x14ac:dyDescent="0.25">
      <c r="A148" t="s">
        <v>173</v>
      </c>
      <c r="B148" t="s">
        <v>36</v>
      </c>
      <c r="C148" t="s">
        <v>11</v>
      </c>
      <c r="D148" t="s">
        <v>26</v>
      </c>
      <c r="E148" t="s">
        <v>18</v>
      </c>
      <c r="F148">
        <v>61</v>
      </c>
      <c r="G148">
        <v>32781.94</v>
      </c>
      <c r="H148">
        <v>1</v>
      </c>
      <c r="I148">
        <v>83</v>
      </c>
    </row>
    <row r="149" spans="1:9" x14ac:dyDescent="0.25">
      <c r="A149" t="s">
        <v>174</v>
      </c>
      <c r="B149" t="s">
        <v>36</v>
      </c>
      <c r="C149" t="s">
        <v>16</v>
      </c>
      <c r="D149" t="s">
        <v>17</v>
      </c>
      <c r="E149" t="s">
        <v>29</v>
      </c>
      <c r="F149">
        <v>34</v>
      </c>
      <c r="G149">
        <v>139264.72</v>
      </c>
      <c r="H149">
        <v>14</v>
      </c>
      <c r="I149">
        <v>72</v>
      </c>
    </row>
    <row r="150" spans="1:9" x14ac:dyDescent="0.25">
      <c r="A150" t="s">
        <v>175</v>
      </c>
      <c r="B150" t="s">
        <v>15</v>
      </c>
      <c r="C150" t="s">
        <v>11</v>
      </c>
      <c r="D150" t="s">
        <v>32</v>
      </c>
      <c r="E150" t="s">
        <v>13</v>
      </c>
      <c r="F150">
        <v>78</v>
      </c>
      <c r="G150">
        <v>15165.98</v>
      </c>
      <c r="H150">
        <v>25</v>
      </c>
      <c r="I150">
        <v>86</v>
      </c>
    </row>
    <row r="151" spans="1:9" x14ac:dyDescent="0.25">
      <c r="A151" t="s">
        <v>176</v>
      </c>
      <c r="B151" t="s">
        <v>10</v>
      </c>
      <c r="C151" t="s">
        <v>28</v>
      </c>
      <c r="D151" t="s">
        <v>17</v>
      </c>
      <c r="E151" t="s">
        <v>18</v>
      </c>
      <c r="F151">
        <v>73</v>
      </c>
      <c r="G151">
        <v>133910.69</v>
      </c>
      <c r="H151">
        <v>22</v>
      </c>
      <c r="I151">
        <v>87</v>
      </c>
    </row>
    <row r="152" spans="1:9" x14ac:dyDescent="0.25">
      <c r="A152" t="s">
        <v>177</v>
      </c>
      <c r="B152" t="s">
        <v>25</v>
      </c>
      <c r="C152" t="s">
        <v>28</v>
      </c>
      <c r="D152" t="s">
        <v>12</v>
      </c>
      <c r="E152" t="s">
        <v>18</v>
      </c>
      <c r="F152">
        <v>8</v>
      </c>
      <c r="G152">
        <v>82835.539999999994</v>
      </c>
      <c r="H152">
        <v>24</v>
      </c>
      <c r="I152">
        <v>94</v>
      </c>
    </row>
    <row r="153" spans="1:9" x14ac:dyDescent="0.25">
      <c r="A153" t="s">
        <v>178</v>
      </c>
      <c r="B153" t="s">
        <v>10</v>
      </c>
      <c r="C153" t="s">
        <v>16</v>
      </c>
      <c r="D153" t="s">
        <v>32</v>
      </c>
      <c r="E153" t="s">
        <v>18</v>
      </c>
      <c r="F153">
        <v>16</v>
      </c>
      <c r="G153">
        <v>109945.06</v>
      </c>
      <c r="H153">
        <v>23</v>
      </c>
      <c r="I153">
        <v>76</v>
      </c>
    </row>
    <row r="154" spans="1:9" x14ac:dyDescent="0.25">
      <c r="A154" t="s">
        <v>179</v>
      </c>
      <c r="B154" t="s">
        <v>10</v>
      </c>
      <c r="C154" t="s">
        <v>16</v>
      </c>
      <c r="D154" t="s">
        <v>26</v>
      </c>
      <c r="E154" t="s">
        <v>29</v>
      </c>
      <c r="F154">
        <v>3</v>
      </c>
      <c r="G154">
        <v>40894.400000000001</v>
      </c>
      <c r="H154">
        <v>20</v>
      </c>
      <c r="I154">
        <v>46</v>
      </c>
    </row>
    <row r="155" spans="1:9" x14ac:dyDescent="0.25">
      <c r="A155" t="s">
        <v>180</v>
      </c>
      <c r="B155" t="s">
        <v>10</v>
      </c>
      <c r="C155" t="s">
        <v>16</v>
      </c>
      <c r="D155" t="s">
        <v>26</v>
      </c>
      <c r="E155" t="s">
        <v>29</v>
      </c>
      <c r="F155">
        <v>28</v>
      </c>
      <c r="G155">
        <v>5522.04</v>
      </c>
      <c r="H155">
        <v>20</v>
      </c>
      <c r="I155">
        <v>95</v>
      </c>
    </row>
    <row r="156" spans="1:9" x14ac:dyDescent="0.25">
      <c r="A156" t="s">
        <v>181</v>
      </c>
      <c r="B156" t="s">
        <v>22</v>
      </c>
      <c r="C156" t="s">
        <v>41</v>
      </c>
      <c r="D156" t="s">
        <v>26</v>
      </c>
      <c r="E156" t="s">
        <v>18</v>
      </c>
      <c r="F156">
        <v>38</v>
      </c>
      <c r="G156">
        <v>121567.96</v>
      </c>
      <c r="H156">
        <v>26</v>
      </c>
      <c r="I156">
        <v>65</v>
      </c>
    </row>
    <row r="157" spans="1:9" x14ac:dyDescent="0.25">
      <c r="A157" t="s">
        <v>182</v>
      </c>
      <c r="B157" t="s">
        <v>10</v>
      </c>
      <c r="C157" t="s">
        <v>41</v>
      </c>
      <c r="D157" t="s">
        <v>32</v>
      </c>
      <c r="E157" t="s">
        <v>13</v>
      </c>
      <c r="F157">
        <v>2</v>
      </c>
      <c r="G157">
        <v>14606.74</v>
      </c>
      <c r="H157">
        <v>30</v>
      </c>
      <c r="I157">
        <v>75</v>
      </c>
    </row>
    <row r="158" spans="1:9" x14ac:dyDescent="0.25">
      <c r="A158" t="s">
        <v>183</v>
      </c>
      <c r="B158" t="s">
        <v>15</v>
      </c>
      <c r="C158" t="s">
        <v>28</v>
      </c>
      <c r="D158" t="s">
        <v>23</v>
      </c>
      <c r="E158" t="s">
        <v>18</v>
      </c>
      <c r="F158">
        <v>6</v>
      </c>
      <c r="G158">
        <v>116568.72</v>
      </c>
      <c r="H158">
        <v>24</v>
      </c>
      <c r="I158">
        <v>65</v>
      </c>
    </row>
    <row r="159" spans="1:9" x14ac:dyDescent="0.25">
      <c r="A159" t="s">
        <v>184</v>
      </c>
      <c r="B159" t="s">
        <v>25</v>
      </c>
      <c r="C159" t="s">
        <v>16</v>
      </c>
      <c r="D159" t="s">
        <v>32</v>
      </c>
      <c r="E159" t="s">
        <v>18</v>
      </c>
      <c r="F159">
        <v>33</v>
      </c>
      <c r="G159">
        <v>70189.8</v>
      </c>
      <c r="H159">
        <v>14</v>
      </c>
      <c r="I159">
        <v>88</v>
      </c>
    </row>
    <row r="160" spans="1:9" x14ac:dyDescent="0.25">
      <c r="A160" t="s">
        <v>185</v>
      </c>
      <c r="B160" t="s">
        <v>36</v>
      </c>
      <c r="C160" t="s">
        <v>16</v>
      </c>
      <c r="D160" t="s">
        <v>26</v>
      </c>
      <c r="E160" t="s">
        <v>29</v>
      </c>
      <c r="F160">
        <v>28</v>
      </c>
      <c r="G160">
        <v>136392.39000000001</v>
      </c>
      <c r="H160">
        <v>22</v>
      </c>
      <c r="I160">
        <v>77</v>
      </c>
    </row>
    <row r="161" spans="1:9" x14ac:dyDescent="0.25">
      <c r="A161" t="s">
        <v>186</v>
      </c>
      <c r="B161" t="s">
        <v>36</v>
      </c>
      <c r="C161" t="s">
        <v>41</v>
      </c>
      <c r="D161" t="s">
        <v>26</v>
      </c>
      <c r="E161" t="s">
        <v>29</v>
      </c>
      <c r="F161">
        <v>56</v>
      </c>
      <c r="G161">
        <v>139281.34</v>
      </c>
      <c r="H161">
        <v>24</v>
      </c>
      <c r="I161">
        <v>96</v>
      </c>
    </row>
    <row r="162" spans="1:9" x14ac:dyDescent="0.25">
      <c r="A162" t="s">
        <v>187</v>
      </c>
      <c r="B162" t="s">
        <v>15</v>
      </c>
      <c r="C162" t="s">
        <v>11</v>
      </c>
      <c r="D162" t="s">
        <v>26</v>
      </c>
      <c r="E162" t="s">
        <v>18</v>
      </c>
      <c r="F162">
        <v>80</v>
      </c>
      <c r="G162">
        <v>140818.37</v>
      </c>
      <c r="H162">
        <v>9</v>
      </c>
      <c r="I162">
        <v>42</v>
      </c>
    </row>
    <row r="163" spans="1:9" x14ac:dyDescent="0.25">
      <c r="A163" t="s">
        <v>188</v>
      </c>
      <c r="B163" t="s">
        <v>31</v>
      </c>
      <c r="C163" t="s">
        <v>41</v>
      </c>
      <c r="D163" t="s">
        <v>17</v>
      </c>
      <c r="E163" t="s">
        <v>18</v>
      </c>
      <c r="F163">
        <v>74</v>
      </c>
      <c r="G163">
        <v>56018.43</v>
      </c>
      <c r="H163">
        <v>7</v>
      </c>
      <c r="I163">
        <v>77</v>
      </c>
    </row>
    <row r="164" spans="1:9" x14ac:dyDescent="0.25">
      <c r="A164" t="s">
        <v>189</v>
      </c>
      <c r="B164" t="s">
        <v>22</v>
      </c>
      <c r="C164" t="s">
        <v>41</v>
      </c>
      <c r="D164" t="s">
        <v>32</v>
      </c>
      <c r="E164" t="s">
        <v>29</v>
      </c>
      <c r="F164">
        <v>72</v>
      </c>
      <c r="G164">
        <v>144841.74</v>
      </c>
      <c r="H164">
        <v>5</v>
      </c>
      <c r="I164">
        <v>57</v>
      </c>
    </row>
    <row r="165" spans="1:9" x14ac:dyDescent="0.25">
      <c r="A165" t="s">
        <v>190</v>
      </c>
      <c r="B165" t="s">
        <v>31</v>
      </c>
      <c r="C165" t="s">
        <v>11</v>
      </c>
      <c r="D165" t="s">
        <v>23</v>
      </c>
      <c r="E165" t="s">
        <v>18</v>
      </c>
      <c r="F165">
        <v>14</v>
      </c>
      <c r="G165">
        <v>123398.79</v>
      </c>
      <c r="H165">
        <v>21</v>
      </c>
      <c r="I165">
        <v>77</v>
      </c>
    </row>
    <row r="166" spans="1:9" x14ac:dyDescent="0.25">
      <c r="A166" t="s">
        <v>191</v>
      </c>
      <c r="B166" t="s">
        <v>15</v>
      </c>
      <c r="C166" t="s">
        <v>41</v>
      </c>
      <c r="D166" t="s">
        <v>32</v>
      </c>
      <c r="E166" t="s">
        <v>18</v>
      </c>
      <c r="F166">
        <v>48</v>
      </c>
      <c r="G166">
        <v>10911.55</v>
      </c>
      <c r="H166">
        <v>19</v>
      </c>
      <c r="I166">
        <v>47</v>
      </c>
    </row>
    <row r="167" spans="1:9" x14ac:dyDescent="0.25">
      <c r="A167" t="s">
        <v>192</v>
      </c>
      <c r="B167" t="s">
        <v>36</v>
      </c>
      <c r="C167" t="s">
        <v>16</v>
      </c>
      <c r="D167" t="s">
        <v>32</v>
      </c>
      <c r="E167" t="s">
        <v>13</v>
      </c>
      <c r="F167">
        <v>87</v>
      </c>
      <c r="G167">
        <v>96532.96</v>
      </c>
      <c r="H167">
        <v>7</v>
      </c>
      <c r="I167">
        <v>93</v>
      </c>
    </row>
    <row r="168" spans="1:9" x14ac:dyDescent="0.25">
      <c r="A168" t="s">
        <v>193</v>
      </c>
      <c r="B168" t="s">
        <v>15</v>
      </c>
      <c r="C168" t="s">
        <v>41</v>
      </c>
      <c r="D168" t="s">
        <v>32</v>
      </c>
      <c r="E168" t="s">
        <v>29</v>
      </c>
      <c r="F168">
        <v>49</v>
      </c>
      <c r="G168">
        <v>126056.09</v>
      </c>
      <c r="H168">
        <v>11</v>
      </c>
      <c r="I168">
        <v>78</v>
      </c>
    </row>
    <row r="169" spans="1:9" x14ac:dyDescent="0.25">
      <c r="A169" t="s">
        <v>194</v>
      </c>
      <c r="B169" t="s">
        <v>36</v>
      </c>
      <c r="C169" t="s">
        <v>41</v>
      </c>
      <c r="D169" t="s">
        <v>32</v>
      </c>
      <c r="E169" t="s">
        <v>29</v>
      </c>
      <c r="F169">
        <v>42</v>
      </c>
      <c r="G169">
        <v>92788.13</v>
      </c>
      <c r="H169">
        <v>4</v>
      </c>
      <c r="I169">
        <v>41</v>
      </c>
    </row>
    <row r="170" spans="1:9" x14ac:dyDescent="0.25">
      <c r="A170" t="s">
        <v>195</v>
      </c>
      <c r="B170" t="s">
        <v>15</v>
      </c>
      <c r="C170" t="s">
        <v>11</v>
      </c>
      <c r="D170" t="s">
        <v>26</v>
      </c>
      <c r="E170" t="s">
        <v>18</v>
      </c>
      <c r="F170">
        <v>36</v>
      </c>
      <c r="G170">
        <v>24614.639999999999</v>
      </c>
      <c r="H170">
        <v>30</v>
      </c>
      <c r="I170">
        <v>57</v>
      </c>
    </row>
    <row r="171" spans="1:9" x14ac:dyDescent="0.25">
      <c r="A171" t="s">
        <v>196</v>
      </c>
      <c r="B171" t="s">
        <v>31</v>
      </c>
      <c r="C171" t="s">
        <v>11</v>
      </c>
      <c r="D171" t="s">
        <v>12</v>
      </c>
      <c r="E171" t="s">
        <v>29</v>
      </c>
      <c r="F171">
        <v>56</v>
      </c>
      <c r="G171">
        <v>36862.400000000001</v>
      </c>
      <c r="H171">
        <v>28</v>
      </c>
      <c r="I171">
        <v>66</v>
      </c>
    </row>
    <row r="172" spans="1:9" x14ac:dyDescent="0.25">
      <c r="A172" t="s">
        <v>197</v>
      </c>
      <c r="B172" t="s">
        <v>10</v>
      </c>
      <c r="C172" t="s">
        <v>16</v>
      </c>
      <c r="D172" t="s">
        <v>12</v>
      </c>
      <c r="E172" t="s">
        <v>18</v>
      </c>
      <c r="F172">
        <v>39</v>
      </c>
      <c r="G172">
        <v>84065.42</v>
      </c>
      <c r="H172">
        <v>28</v>
      </c>
      <c r="I172">
        <v>50</v>
      </c>
    </row>
    <row r="173" spans="1:9" x14ac:dyDescent="0.25">
      <c r="A173" t="s">
        <v>198</v>
      </c>
      <c r="B173" t="s">
        <v>10</v>
      </c>
      <c r="C173" t="s">
        <v>41</v>
      </c>
      <c r="D173" t="s">
        <v>12</v>
      </c>
      <c r="E173" t="s">
        <v>29</v>
      </c>
      <c r="F173">
        <v>42</v>
      </c>
      <c r="G173">
        <v>83047.11</v>
      </c>
      <c r="H173">
        <v>13</v>
      </c>
      <c r="I173">
        <v>50</v>
      </c>
    </row>
    <row r="174" spans="1:9" x14ac:dyDescent="0.25">
      <c r="A174" t="s">
        <v>199</v>
      </c>
      <c r="B174" t="s">
        <v>10</v>
      </c>
      <c r="C174" t="s">
        <v>11</v>
      </c>
      <c r="D174" t="s">
        <v>26</v>
      </c>
      <c r="E174" t="s">
        <v>29</v>
      </c>
      <c r="F174">
        <v>59</v>
      </c>
      <c r="G174">
        <v>96326.11</v>
      </c>
      <c r="H174">
        <v>17</v>
      </c>
      <c r="I174">
        <v>82</v>
      </c>
    </row>
    <row r="175" spans="1:9" x14ac:dyDescent="0.25">
      <c r="A175" t="s">
        <v>200</v>
      </c>
      <c r="B175" t="s">
        <v>36</v>
      </c>
      <c r="C175" t="s">
        <v>41</v>
      </c>
      <c r="D175" t="s">
        <v>12</v>
      </c>
      <c r="E175" t="s">
        <v>18</v>
      </c>
      <c r="F175">
        <v>67</v>
      </c>
      <c r="G175">
        <v>49487.73</v>
      </c>
      <c r="H175">
        <v>27</v>
      </c>
      <c r="I175">
        <v>72</v>
      </c>
    </row>
    <row r="176" spans="1:9" x14ac:dyDescent="0.25">
      <c r="A176" t="s">
        <v>201</v>
      </c>
      <c r="B176" t="s">
        <v>10</v>
      </c>
      <c r="C176" t="s">
        <v>41</v>
      </c>
      <c r="D176" t="s">
        <v>17</v>
      </c>
      <c r="E176" t="s">
        <v>18</v>
      </c>
      <c r="F176">
        <v>11</v>
      </c>
      <c r="G176">
        <v>18263.25</v>
      </c>
      <c r="H176">
        <v>29</v>
      </c>
      <c r="I176">
        <v>83</v>
      </c>
    </row>
    <row r="177" spans="1:9" x14ac:dyDescent="0.25">
      <c r="A177" t="s">
        <v>202</v>
      </c>
      <c r="B177" t="s">
        <v>31</v>
      </c>
      <c r="C177" t="s">
        <v>28</v>
      </c>
      <c r="D177" t="s">
        <v>12</v>
      </c>
      <c r="E177" t="s">
        <v>13</v>
      </c>
      <c r="F177">
        <v>3</v>
      </c>
      <c r="G177">
        <v>149013.84</v>
      </c>
      <c r="H177">
        <v>26</v>
      </c>
      <c r="I177">
        <v>93</v>
      </c>
    </row>
    <row r="178" spans="1:9" x14ac:dyDescent="0.25">
      <c r="A178" t="s">
        <v>203</v>
      </c>
      <c r="B178" t="s">
        <v>22</v>
      </c>
      <c r="C178" t="s">
        <v>16</v>
      </c>
      <c r="D178" t="s">
        <v>26</v>
      </c>
      <c r="E178" t="s">
        <v>29</v>
      </c>
      <c r="F178">
        <v>69</v>
      </c>
      <c r="G178">
        <v>46708.35</v>
      </c>
      <c r="H178">
        <v>1</v>
      </c>
      <c r="I178">
        <v>88</v>
      </c>
    </row>
    <row r="179" spans="1:9" x14ac:dyDescent="0.25">
      <c r="A179" t="s">
        <v>204</v>
      </c>
      <c r="B179" t="s">
        <v>25</v>
      </c>
      <c r="C179" t="s">
        <v>11</v>
      </c>
      <c r="D179" t="s">
        <v>17</v>
      </c>
      <c r="E179" t="s">
        <v>18</v>
      </c>
      <c r="F179">
        <v>54</v>
      </c>
      <c r="G179">
        <v>68133.7</v>
      </c>
      <c r="H179">
        <v>9</v>
      </c>
      <c r="I179">
        <v>60</v>
      </c>
    </row>
    <row r="180" spans="1:9" x14ac:dyDescent="0.25">
      <c r="A180" t="s">
        <v>205</v>
      </c>
      <c r="B180" t="s">
        <v>36</v>
      </c>
      <c r="C180" t="s">
        <v>28</v>
      </c>
      <c r="D180" t="s">
        <v>12</v>
      </c>
      <c r="E180" t="s">
        <v>18</v>
      </c>
      <c r="F180">
        <v>82</v>
      </c>
      <c r="G180">
        <v>19213.509999999998</v>
      </c>
      <c r="H180">
        <v>26</v>
      </c>
      <c r="I180">
        <v>96</v>
      </c>
    </row>
    <row r="181" spans="1:9" x14ac:dyDescent="0.25">
      <c r="A181" t="s">
        <v>206</v>
      </c>
      <c r="B181" t="s">
        <v>25</v>
      </c>
      <c r="C181" t="s">
        <v>41</v>
      </c>
      <c r="D181" t="s">
        <v>26</v>
      </c>
      <c r="E181" t="s">
        <v>18</v>
      </c>
      <c r="F181">
        <v>60</v>
      </c>
      <c r="G181">
        <v>22138.22</v>
      </c>
      <c r="H181">
        <v>3</v>
      </c>
      <c r="I181">
        <v>96</v>
      </c>
    </row>
    <row r="182" spans="1:9" x14ac:dyDescent="0.25">
      <c r="A182" t="s">
        <v>207</v>
      </c>
      <c r="B182" t="s">
        <v>22</v>
      </c>
      <c r="C182" t="s">
        <v>16</v>
      </c>
      <c r="D182" t="s">
        <v>17</v>
      </c>
      <c r="E182" t="s">
        <v>18</v>
      </c>
      <c r="F182">
        <v>65</v>
      </c>
      <c r="G182">
        <v>30460.26</v>
      </c>
      <c r="H182">
        <v>21</v>
      </c>
      <c r="I182">
        <v>63</v>
      </c>
    </row>
    <row r="183" spans="1:9" x14ac:dyDescent="0.25">
      <c r="A183" t="s">
        <v>208</v>
      </c>
      <c r="B183" t="s">
        <v>15</v>
      </c>
      <c r="C183" t="s">
        <v>28</v>
      </c>
      <c r="D183" t="s">
        <v>23</v>
      </c>
      <c r="E183" t="s">
        <v>18</v>
      </c>
      <c r="F183">
        <v>5</v>
      </c>
      <c r="G183">
        <v>52772.62</v>
      </c>
      <c r="H183">
        <v>9</v>
      </c>
      <c r="I183">
        <v>62</v>
      </c>
    </row>
    <row r="184" spans="1:9" x14ac:dyDescent="0.25">
      <c r="A184" t="s">
        <v>209</v>
      </c>
      <c r="B184" t="s">
        <v>22</v>
      </c>
      <c r="C184" t="s">
        <v>28</v>
      </c>
      <c r="D184" t="s">
        <v>17</v>
      </c>
      <c r="E184" t="s">
        <v>18</v>
      </c>
      <c r="F184">
        <v>54</v>
      </c>
      <c r="G184">
        <v>118241.71</v>
      </c>
      <c r="H184">
        <v>24</v>
      </c>
      <c r="I184">
        <v>81</v>
      </c>
    </row>
    <row r="185" spans="1:9" x14ac:dyDescent="0.25">
      <c r="A185" t="s">
        <v>210</v>
      </c>
      <c r="B185" t="s">
        <v>10</v>
      </c>
      <c r="C185" t="s">
        <v>16</v>
      </c>
      <c r="D185" t="s">
        <v>32</v>
      </c>
      <c r="E185" t="s">
        <v>18</v>
      </c>
      <c r="F185">
        <v>64</v>
      </c>
      <c r="G185">
        <v>19477.689999999999</v>
      </c>
      <c r="H185">
        <v>6</v>
      </c>
      <c r="I185">
        <v>65</v>
      </c>
    </row>
    <row r="186" spans="1:9" x14ac:dyDescent="0.25">
      <c r="A186" t="s">
        <v>211</v>
      </c>
      <c r="B186" t="s">
        <v>36</v>
      </c>
      <c r="C186" t="s">
        <v>28</v>
      </c>
      <c r="D186" t="s">
        <v>23</v>
      </c>
      <c r="E186" t="s">
        <v>13</v>
      </c>
      <c r="F186">
        <v>77</v>
      </c>
      <c r="G186">
        <v>114541.22</v>
      </c>
      <c r="H186">
        <v>25</v>
      </c>
      <c r="I186">
        <v>69</v>
      </c>
    </row>
    <row r="187" spans="1:9" x14ac:dyDescent="0.25">
      <c r="A187" t="s">
        <v>212</v>
      </c>
      <c r="B187" t="s">
        <v>36</v>
      </c>
      <c r="C187" t="s">
        <v>11</v>
      </c>
      <c r="D187" t="s">
        <v>26</v>
      </c>
      <c r="E187" t="s">
        <v>13</v>
      </c>
      <c r="F187">
        <v>72</v>
      </c>
      <c r="G187">
        <v>56437.97</v>
      </c>
      <c r="H187">
        <v>21</v>
      </c>
      <c r="I187">
        <v>78</v>
      </c>
    </row>
    <row r="188" spans="1:9" x14ac:dyDescent="0.25">
      <c r="A188" t="s">
        <v>213</v>
      </c>
      <c r="B188" t="s">
        <v>31</v>
      </c>
      <c r="C188" t="s">
        <v>16</v>
      </c>
      <c r="D188" t="s">
        <v>17</v>
      </c>
      <c r="E188" t="s">
        <v>18</v>
      </c>
      <c r="F188">
        <v>86</v>
      </c>
      <c r="G188">
        <v>53586.34</v>
      </c>
      <c r="H188">
        <v>22</v>
      </c>
      <c r="I188">
        <v>96</v>
      </c>
    </row>
    <row r="189" spans="1:9" x14ac:dyDescent="0.25">
      <c r="A189" t="s">
        <v>214</v>
      </c>
      <c r="B189" t="s">
        <v>10</v>
      </c>
      <c r="C189" t="s">
        <v>41</v>
      </c>
      <c r="D189" t="s">
        <v>17</v>
      </c>
      <c r="E189" t="s">
        <v>13</v>
      </c>
      <c r="F189">
        <v>62</v>
      </c>
      <c r="G189">
        <v>13836.03</v>
      </c>
      <c r="H189">
        <v>15</v>
      </c>
      <c r="I189">
        <v>60</v>
      </c>
    </row>
    <row r="190" spans="1:9" x14ac:dyDescent="0.25">
      <c r="A190" t="s">
        <v>215</v>
      </c>
      <c r="B190" t="s">
        <v>15</v>
      </c>
      <c r="C190" t="s">
        <v>28</v>
      </c>
      <c r="D190" t="s">
        <v>23</v>
      </c>
      <c r="E190" t="s">
        <v>18</v>
      </c>
      <c r="F190">
        <v>38</v>
      </c>
      <c r="G190">
        <v>54960.36</v>
      </c>
      <c r="H190">
        <v>26</v>
      </c>
      <c r="I190">
        <v>61</v>
      </c>
    </row>
    <row r="191" spans="1:9" x14ac:dyDescent="0.25">
      <c r="A191" t="s">
        <v>216</v>
      </c>
      <c r="B191" t="s">
        <v>15</v>
      </c>
      <c r="C191" t="s">
        <v>16</v>
      </c>
      <c r="D191" t="s">
        <v>32</v>
      </c>
      <c r="E191" t="s">
        <v>13</v>
      </c>
      <c r="F191">
        <v>70</v>
      </c>
      <c r="G191">
        <v>92629.07</v>
      </c>
      <c r="H191">
        <v>11</v>
      </c>
      <c r="I191">
        <v>96</v>
      </c>
    </row>
    <row r="192" spans="1:9" x14ac:dyDescent="0.25">
      <c r="A192" t="s">
        <v>217</v>
      </c>
      <c r="B192" t="s">
        <v>25</v>
      </c>
      <c r="C192" t="s">
        <v>41</v>
      </c>
      <c r="D192" t="s">
        <v>32</v>
      </c>
      <c r="E192" t="s">
        <v>29</v>
      </c>
      <c r="F192">
        <v>52</v>
      </c>
      <c r="G192">
        <v>69945.08</v>
      </c>
      <c r="H192">
        <v>8</v>
      </c>
      <c r="I192">
        <v>80</v>
      </c>
    </row>
    <row r="193" spans="1:9" x14ac:dyDescent="0.25">
      <c r="A193" t="s">
        <v>218</v>
      </c>
      <c r="B193" t="s">
        <v>22</v>
      </c>
      <c r="C193" t="s">
        <v>16</v>
      </c>
      <c r="D193" t="s">
        <v>12</v>
      </c>
      <c r="E193" t="s">
        <v>13</v>
      </c>
      <c r="F193">
        <v>62</v>
      </c>
      <c r="G193">
        <v>132120.79</v>
      </c>
      <c r="H193">
        <v>25</v>
      </c>
      <c r="I193">
        <v>81</v>
      </c>
    </row>
    <row r="194" spans="1:9" x14ac:dyDescent="0.25">
      <c r="A194" t="s">
        <v>219</v>
      </c>
      <c r="B194" t="s">
        <v>22</v>
      </c>
      <c r="C194" t="s">
        <v>16</v>
      </c>
      <c r="D194" t="s">
        <v>26</v>
      </c>
      <c r="E194" t="s">
        <v>18</v>
      </c>
      <c r="F194">
        <v>22</v>
      </c>
      <c r="G194">
        <v>132726.88</v>
      </c>
      <c r="H194">
        <v>24</v>
      </c>
      <c r="I194">
        <v>54</v>
      </c>
    </row>
    <row r="195" spans="1:9" x14ac:dyDescent="0.25">
      <c r="A195" t="s">
        <v>220</v>
      </c>
      <c r="B195" t="s">
        <v>10</v>
      </c>
      <c r="C195" t="s">
        <v>16</v>
      </c>
      <c r="D195" t="s">
        <v>17</v>
      </c>
      <c r="E195" t="s">
        <v>29</v>
      </c>
      <c r="F195">
        <v>70</v>
      </c>
      <c r="G195">
        <v>40806.769999999997</v>
      </c>
      <c r="H195">
        <v>1</v>
      </c>
      <c r="I195">
        <v>51</v>
      </c>
    </row>
    <row r="196" spans="1:9" x14ac:dyDescent="0.25">
      <c r="A196" t="s">
        <v>221</v>
      </c>
      <c r="B196" t="s">
        <v>25</v>
      </c>
      <c r="C196" t="s">
        <v>41</v>
      </c>
      <c r="D196" t="s">
        <v>32</v>
      </c>
      <c r="E196" t="s">
        <v>13</v>
      </c>
      <c r="F196">
        <v>33</v>
      </c>
      <c r="G196">
        <v>56926.38</v>
      </c>
      <c r="H196">
        <v>11</v>
      </c>
      <c r="I196">
        <v>81</v>
      </c>
    </row>
    <row r="197" spans="1:9" x14ac:dyDescent="0.25">
      <c r="A197" t="s">
        <v>222</v>
      </c>
      <c r="B197" t="s">
        <v>22</v>
      </c>
      <c r="C197" t="s">
        <v>16</v>
      </c>
      <c r="D197" t="s">
        <v>32</v>
      </c>
      <c r="E197" t="s">
        <v>29</v>
      </c>
      <c r="F197">
        <v>1</v>
      </c>
      <c r="G197">
        <v>87386.12</v>
      </c>
      <c r="H197">
        <v>14</v>
      </c>
      <c r="I197">
        <v>63</v>
      </c>
    </row>
    <row r="198" spans="1:9" x14ac:dyDescent="0.25">
      <c r="A198" t="s">
        <v>223</v>
      </c>
      <c r="B198" t="s">
        <v>22</v>
      </c>
      <c r="C198" t="s">
        <v>28</v>
      </c>
      <c r="D198" t="s">
        <v>12</v>
      </c>
      <c r="E198" t="s">
        <v>13</v>
      </c>
      <c r="F198">
        <v>8</v>
      </c>
      <c r="G198">
        <v>7805.22</v>
      </c>
      <c r="H198">
        <v>13</v>
      </c>
      <c r="I198">
        <v>91</v>
      </c>
    </row>
    <row r="199" spans="1:9" x14ac:dyDescent="0.25">
      <c r="A199" t="s">
        <v>224</v>
      </c>
      <c r="B199" t="s">
        <v>22</v>
      </c>
      <c r="C199" t="s">
        <v>11</v>
      </c>
      <c r="D199" t="s">
        <v>17</v>
      </c>
      <c r="E199" t="s">
        <v>18</v>
      </c>
      <c r="F199">
        <v>90</v>
      </c>
      <c r="G199">
        <v>64936.83</v>
      </c>
      <c r="H199">
        <v>23</v>
      </c>
      <c r="I199">
        <v>51</v>
      </c>
    </row>
    <row r="200" spans="1:9" x14ac:dyDescent="0.25">
      <c r="A200" t="s">
        <v>225</v>
      </c>
      <c r="B200" t="s">
        <v>36</v>
      </c>
      <c r="C200" t="s">
        <v>41</v>
      </c>
      <c r="D200" t="s">
        <v>32</v>
      </c>
      <c r="E200" t="s">
        <v>13</v>
      </c>
      <c r="F200">
        <v>21</v>
      </c>
      <c r="G200">
        <v>57025.03</v>
      </c>
      <c r="H200">
        <v>18</v>
      </c>
      <c r="I200">
        <v>50</v>
      </c>
    </row>
    <row r="201" spans="1:9" x14ac:dyDescent="0.25">
      <c r="A201" t="s">
        <v>226</v>
      </c>
      <c r="B201" t="s">
        <v>36</v>
      </c>
      <c r="C201" t="s">
        <v>41</v>
      </c>
      <c r="D201" t="s">
        <v>23</v>
      </c>
      <c r="E201" t="s">
        <v>13</v>
      </c>
      <c r="F201">
        <v>39</v>
      </c>
      <c r="G201">
        <v>145631.91</v>
      </c>
      <c r="H201">
        <v>6</v>
      </c>
      <c r="I201">
        <v>49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opLeftCell="A2" workbookViewId="0">
      <selection activeCell="K8" sqref="K8"/>
    </sheetView>
  </sheetViews>
  <sheetFormatPr defaultRowHeight="15" x14ac:dyDescent="0.25"/>
  <cols>
    <col min="1" max="1" width="11.85546875" customWidth="1"/>
    <col min="2" max="2" width="13.85546875" customWidth="1"/>
    <col min="3" max="3" width="17.140625" customWidth="1"/>
    <col min="4" max="4" width="14.7109375" customWidth="1"/>
    <col min="5" max="5" width="9.85546875" customWidth="1"/>
    <col min="7" max="7" width="16.7109375" customWidth="1"/>
    <col min="8" max="8" width="20.5703125" customWidth="1"/>
    <col min="9" max="11" width="16.5703125" customWidth="1"/>
  </cols>
  <sheetData>
    <row r="1" spans="1:11" x14ac:dyDescent="0.25">
      <c r="A1" t="s">
        <v>0</v>
      </c>
      <c r="B1" t="s">
        <v>1</v>
      </c>
      <c r="C1" t="s">
        <v>2</v>
      </c>
      <c r="D1" t="s">
        <v>3</v>
      </c>
      <c r="E1" t="s">
        <v>4</v>
      </c>
      <c r="F1" t="s">
        <v>5</v>
      </c>
      <c r="G1" t="s">
        <v>6</v>
      </c>
      <c r="H1" t="s">
        <v>7</v>
      </c>
      <c r="I1" t="s">
        <v>8</v>
      </c>
      <c r="J1" t="s">
        <v>235</v>
      </c>
      <c r="K1" t="s">
        <v>236</v>
      </c>
    </row>
    <row r="2" spans="1:11" x14ac:dyDescent="0.25">
      <c r="A2" t="s">
        <v>216</v>
      </c>
      <c r="B2" t="s">
        <v>15</v>
      </c>
      <c r="C2" t="s">
        <v>16</v>
      </c>
      <c r="D2" t="s">
        <v>32</v>
      </c>
      <c r="E2" t="s">
        <v>13</v>
      </c>
      <c r="F2">
        <v>70</v>
      </c>
      <c r="G2">
        <v>92629.07</v>
      </c>
      <c r="H2">
        <v>11</v>
      </c>
      <c r="I2">
        <v>96</v>
      </c>
      <c r="J2" t="str">
        <f>IF(Table4[[#This Row],[Treatment Cost]]&gt;77778.57, "High Cost", "Low Cost")</f>
        <v>High Cost</v>
      </c>
      <c r="K2" t="str" cm="1">
        <f t="array" ref="K2">_xlfn.IFS(Table4[[#This Row],[Age]]&lt;3,"Infant/Toddler",Table4[[#This Row],[Age]]&lt;13,"Child",Table4[[#This Row],[Age]]&lt;20,"Teenager",Table4[[#This Row],[Age]]&lt;30,"Young Adult",Table4[[#This Row],[Age]]&lt;45,"Adult",Table4[[#This Row],[Age]]&lt;60,"Middle-aged",Table4[[#This Row],[Age]]&lt;75,"Senior",Table4[[#This Row],[Age]]&gt;=75,"Elderly")</f>
        <v>Senior</v>
      </c>
    </row>
    <row r="3" spans="1:11" x14ac:dyDescent="0.25">
      <c r="A3" t="s">
        <v>14</v>
      </c>
      <c r="B3" t="s">
        <v>15</v>
      </c>
      <c r="C3" t="s">
        <v>16</v>
      </c>
      <c r="D3" t="s">
        <v>17</v>
      </c>
      <c r="E3" t="s">
        <v>18</v>
      </c>
      <c r="F3">
        <v>52</v>
      </c>
      <c r="G3">
        <v>10231.42</v>
      </c>
      <c r="H3">
        <v>20</v>
      </c>
      <c r="I3">
        <v>42</v>
      </c>
      <c r="J3" t="str">
        <f>IF(Table4[[#This Row],[Treatment Cost]]&gt;77778.57, "High Cost", "Low Cost")</f>
        <v>Low Cost</v>
      </c>
      <c r="K3" t="str" cm="1">
        <f t="array" ref="K3">_xlfn.IFS(Table4[[#This Row],[Age]]&lt;3,"Infant/Toddler",Table4[[#This Row],[Age]]&lt;13,"Child",Table4[[#This Row],[Age]]&lt;20,"Teenager",Table4[[#This Row],[Age]]&lt;30,"Young Adult",Table4[[#This Row],[Age]]&lt;45,"Adult",Table4[[#This Row],[Age]]&lt;60,"Middle-aged",Table4[[#This Row],[Age]]&lt;75,"Senior",Table4[[#This Row],[Age]]&gt;=75,"Elderly")</f>
        <v>Middle-aged</v>
      </c>
    </row>
    <row r="4" spans="1:11" x14ac:dyDescent="0.25">
      <c r="A4" t="s">
        <v>19</v>
      </c>
      <c r="B4" t="s">
        <v>15</v>
      </c>
      <c r="C4" t="s">
        <v>11</v>
      </c>
      <c r="D4" t="s">
        <v>12</v>
      </c>
      <c r="E4" t="s">
        <v>18</v>
      </c>
      <c r="F4">
        <v>79</v>
      </c>
      <c r="G4">
        <v>10160.24</v>
      </c>
      <c r="H4">
        <v>2</v>
      </c>
      <c r="I4">
        <v>72</v>
      </c>
      <c r="J4" t="str">
        <f>IF(Table4[[#This Row],[Treatment Cost]]&gt;77778.57, "High Cost", "Low Cost")</f>
        <v>Low Cost</v>
      </c>
      <c r="K4" t="str" cm="1">
        <f t="array" ref="K4">_xlfn.IFS(Table4[[#This Row],[Age]]&lt;3,"Infant/Toddler",Table4[[#This Row],[Age]]&lt;13,"Child",Table4[[#This Row],[Age]]&lt;20,"Teenager",Table4[[#This Row],[Age]]&lt;30,"Young Adult",Table4[[#This Row],[Age]]&lt;45,"Adult",Table4[[#This Row],[Age]]&lt;60,"Middle-aged",Table4[[#This Row],[Age]]&lt;75,"Senior",Table4[[#This Row],[Age]]&gt;=75,"Elderly")</f>
        <v>Elderly</v>
      </c>
    </row>
    <row r="5" spans="1:11" x14ac:dyDescent="0.25">
      <c r="A5" t="s">
        <v>20</v>
      </c>
      <c r="B5" t="s">
        <v>15</v>
      </c>
      <c r="C5" t="s">
        <v>11</v>
      </c>
      <c r="D5" t="s">
        <v>12</v>
      </c>
      <c r="E5" t="s">
        <v>13</v>
      </c>
      <c r="F5">
        <v>23</v>
      </c>
      <c r="G5">
        <v>103508.96</v>
      </c>
      <c r="H5">
        <v>20</v>
      </c>
      <c r="I5">
        <v>50</v>
      </c>
      <c r="J5" t="str">
        <f>IF(Table4[[#This Row],[Treatment Cost]]&gt;77778.57, "High Cost", "Low Cost")</f>
        <v>High Cost</v>
      </c>
      <c r="K5" t="str" cm="1">
        <f t="array" ref="K5">_xlfn.IFS(Table4[[#This Row],[Age]]&lt;3,"Infant/Toddler",Table4[[#This Row],[Age]]&lt;13,"Child",Table4[[#This Row],[Age]]&lt;20,"Teenager",Table4[[#This Row],[Age]]&lt;30,"Young Adult",Table4[[#This Row],[Age]]&lt;45,"Adult",Table4[[#This Row],[Age]]&lt;60,"Middle-aged",Table4[[#This Row],[Age]]&lt;75,"Senior",Table4[[#This Row],[Age]]&gt;=75,"Elderly")</f>
        <v>Young Adult</v>
      </c>
    </row>
    <row r="6" spans="1:11" x14ac:dyDescent="0.25">
      <c r="A6" t="s">
        <v>215</v>
      </c>
      <c r="B6" t="s">
        <v>15</v>
      </c>
      <c r="C6" t="s">
        <v>28</v>
      </c>
      <c r="D6" t="s">
        <v>23</v>
      </c>
      <c r="E6" t="s">
        <v>18</v>
      </c>
      <c r="F6">
        <v>38</v>
      </c>
      <c r="G6">
        <v>54960.36</v>
      </c>
      <c r="H6">
        <v>26</v>
      </c>
      <c r="I6">
        <v>61</v>
      </c>
      <c r="J6" t="str">
        <f>IF(Table4[[#This Row],[Treatment Cost]]&gt;77778.57, "High Cost", "Low Cost")</f>
        <v>Low Cost</v>
      </c>
      <c r="K6" t="str" cm="1">
        <f t="array" ref="K6">_xlfn.IFS(Table4[[#This Row],[Age]]&lt;3,"Infant/Toddler",Table4[[#This Row],[Age]]&lt;13,"Child",Table4[[#This Row],[Age]]&lt;20,"Teenager",Table4[[#This Row],[Age]]&lt;30,"Young Adult",Table4[[#This Row],[Age]]&lt;45,"Adult",Table4[[#This Row],[Age]]&lt;60,"Middle-aged",Table4[[#This Row],[Age]]&lt;75,"Senior",Table4[[#This Row],[Age]]&gt;=75,"Elderly")</f>
        <v>Adult</v>
      </c>
    </row>
    <row r="7" spans="1:11" x14ac:dyDescent="0.25">
      <c r="A7" t="s">
        <v>208</v>
      </c>
      <c r="B7" t="s">
        <v>15</v>
      </c>
      <c r="C7" t="s">
        <v>28</v>
      </c>
      <c r="D7" t="s">
        <v>23</v>
      </c>
      <c r="E7" t="s">
        <v>18</v>
      </c>
      <c r="F7">
        <v>5</v>
      </c>
      <c r="G7">
        <v>52772.62</v>
      </c>
      <c r="H7">
        <v>9</v>
      </c>
      <c r="I7">
        <v>62</v>
      </c>
      <c r="J7" t="str">
        <f>IF(Table4[[#This Row],[Treatment Cost]]&gt;77778.57, "High Cost", "Low Cost")</f>
        <v>Low Cost</v>
      </c>
      <c r="K7" t="str" cm="1">
        <f t="array" ref="K7">_xlfn.IFS(Table4[[#This Row],[Age]]&lt;3,"Infant/Toddler",Table4[[#This Row],[Age]]&lt;13,"Child",Table4[[#This Row],[Age]]&lt;20,"Teenager",Table4[[#This Row],[Age]]&lt;30,"Young Adult",Table4[[#This Row],[Age]]&lt;45,"Adult",Table4[[#This Row],[Age]]&lt;60,"Middle-aged",Table4[[#This Row],[Age]]&lt;75,"Senior",Table4[[#This Row],[Age]]&gt;=75,"Elderly")</f>
        <v>Child</v>
      </c>
    </row>
    <row r="8" spans="1:11" x14ac:dyDescent="0.25">
      <c r="A8" t="s">
        <v>195</v>
      </c>
      <c r="B8" t="s">
        <v>15</v>
      </c>
      <c r="C8" t="s">
        <v>11</v>
      </c>
      <c r="D8" t="s">
        <v>26</v>
      </c>
      <c r="E8" t="s">
        <v>18</v>
      </c>
      <c r="F8">
        <v>36</v>
      </c>
      <c r="G8">
        <v>24614.639999999999</v>
      </c>
      <c r="H8">
        <v>30</v>
      </c>
      <c r="I8">
        <v>57</v>
      </c>
      <c r="J8" t="str">
        <f>IF(Table4[[#This Row],[Treatment Cost]]&gt;77778.57, "High Cost", "Low Cost")</f>
        <v>Low Cost</v>
      </c>
      <c r="K8" t="str" cm="1">
        <f t="array" ref="K8">_xlfn.IFS(Table4[[#This Row],[Age]]&lt;3,"Infant/Toddler",Table4[[#This Row],[Age]]&lt;13,"Child",Table4[[#This Row],[Age]]&lt;20,"Teenager",Table4[[#This Row],[Age]]&lt;30,"Young Adult",Table4[[#This Row],[Age]]&lt;45,"Adult",Table4[[#This Row],[Age]]&lt;60,"Middle-aged",Table4[[#This Row],[Age]]&lt;75,"Senior",Table4[[#This Row],[Age]]&gt;=75,"Elderly")</f>
        <v>Adult</v>
      </c>
    </row>
    <row r="9" spans="1:11" x14ac:dyDescent="0.25">
      <c r="A9" t="s">
        <v>193</v>
      </c>
      <c r="B9" t="s">
        <v>15</v>
      </c>
      <c r="C9" t="s">
        <v>41</v>
      </c>
      <c r="D9" t="s">
        <v>32</v>
      </c>
      <c r="E9" t="s">
        <v>29</v>
      </c>
      <c r="F9">
        <v>49</v>
      </c>
      <c r="G9">
        <v>126056.09</v>
      </c>
      <c r="H9">
        <v>11</v>
      </c>
      <c r="I9">
        <v>78</v>
      </c>
      <c r="J9" t="str">
        <f>IF(Table4[[#This Row],[Treatment Cost]]&gt;77778.57, "High Cost", "Low Cost")</f>
        <v>High Cost</v>
      </c>
      <c r="K9" t="str" cm="1">
        <f t="array" ref="K9">_xlfn.IFS(Table4[[#This Row],[Age]]&lt;3,"Infant/Toddler",Table4[[#This Row],[Age]]&lt;13,"Child",Table4[[#This Row],[Age]]&lt;20,"Teenager",Table4[[#This Row],[Age]]&lt;30,"Young Adult",Table4[[#This Row],[Age]]&lt;45,"Adult",Table4[[#This Row],[Age]]&lt;60,"Middle-aged",Table4[[#This Row],[Age]]&lt;75,"Senior",Table4[[#This Row],[Age]]&gt;=75,"Elderly")</f>
        <v>Middle-aged</v>
      </c>
    </row>
    <row r="10" spans="1:11" x14ac:dyDescent="0.25">
      <c r="A10" t="s">
        <v>191</v>
      </c>
      <c r="B10" t="s">
        <v>15</v>
      </c>
      <c r="C10" t="s">
        <v>41</v>
      </c>
      <c r="D10" t="s">
        <v>32</v>
      </c>
      <c r="E10" t="s">
        <v>18</v>
      </c>
      <c r="F10">
        <v>48</v>
      </c>
      <c r="G10">
        <v>10911.55</v>
      </c>
      <c r="H10">
        <v>19</v>
      </c>
      <c r="I10">
        <v>47</v>
      </c>
      <c r="J10" t="str">
        <f>IF(Table4[[#This Row],[Treatment Cost]]&gt;77778.57, "High Cost", "Low Cost")</f>
        <v>Low Cost</v>
      </c>
      <c r="K10" t="str" cm="1">
        <f t="array" ref="K10">_xlfn.IFS(Table4[[#This Row],[Age]]&lt;3,"Infant/Toddler",Table4[[#This Row],[Age]]&lt;13,"Child",Table4[[#This Row],[Age]]&lt;20,"Teenager",Table4[[#This Row],[Age]]&lt;30,"Young Adult",Table4[[#This Row],[Age]]&lt;45,"Adult",Table4[[#This Row],[Age]]&lt;60,"Middle-aged",Table4[[#This Row],[Age]]&lt;75,"Senior",Table4[[#This Row],[Age]]&gt;=75,"Elderly")</f>
        <v>Middle-aged</v>
      </c>
    </row>
    <row r="11" spans="1:11" x14ac:dyDescent="0.25">
      <c r="A11" t="s">
        <v>34</v>
      </c>
      <c r="B11" t="s">
        <v>15</v>
      </c>
      <c r="C11" t="s">
        <v>16</v>
      </c>
      <c r="D11" t="s">
        <v>23</v>
      </c>
      <c r="E11" t="s">
        <v>29</v>
      </c>
      <c r="F11">
        <v>56</v>
      </c>
      <c r="G11">
        <v>116558.38</v>
      </c>
      <c r="H11">
        <v>24</v>
      </c>
      <c r="I11">
        <v>48</v>
      </c>
      <c r="J11" t="str">
        <f>IF(Table4[[#This Row],[Treatment Cost]]&gt;77778.57, "High Cost", "Low Cost")</f>
        <v>High Cost</v>
      </c>
      <c r="K11" t="str" cm="1">
        <f t="array" ref="K11">_xlfn.IFS(Table4[[#This Row],[Age]]&lt;3,"Infant/Toddler",Table4[[#This Row],[Age]]&lt;13,"Child",Table4[[#This Row],[Age]]&lt;20,"Teenager",Table4[[#This Row],[Age]]&lt;30,"Young Adult",Table4[[#This Row],[Age]]&lt;45,"Adult",Table4[[#This Row],[Age]]&lt;60,"Middle-aged",Table4[[#This Row],[Age]]&lt;75,"Senior",Table4[[#This Row],[Age]]&gt;=75,"Elderly")</f>
        <v>Middle-aged</v>
      </c>
    </row>
    <row r="12" spans="1:11" x14ac:dyDescent="0.25">
      <c r="A12" t="s">
        <v>187</v>
      </c>
      <c r="B12" t="s">
        <v>15</v>
      </c>
      <c r="C12" t="s">
        <v>11</v>
      </c>
      <c r="D12" t="s">
        <v>26</v>
      </c>
      <c r="E12" t="s">
        <v>18</v>
      </c>
      <c r="F12">
        <v>80</v>
      </c>
      <c r="G12">
        <v>140818.37</v>
      </c>
      <c r="H12">
        <v>9</v>
      </c>
      <c r="I12">
        <v>42</v>
      </c>
      <c r="J12" t="str">
        <f>IF(Table4[[#This Row],[Treatment Cost]]&gt;77778.57, "High Cost", "Low Cost")</f>
        <v>High Cost</v>
      </c>
      <c r="K12" t="str" cm="1">
        <f t="array" ref="K12">_xlfn.IFS(Table4[[#This Row],[Age]]&lt;3,"Infant/Toddler",Table4[[#This Row],[Age]]&lt;13,"Child",Table4[[#This Row],[Age]]&lt;20,"Teenager",Table4[[#This Row],[Age]]&lt;30,"Young Adult",Table4[[#This Row],[Age]]&lt;45,"Adult",Table4[[#This Row],[Age]]&lt;60,"Middle-aged",Table4[[#This Row],[Age]]&lt;75,"Senior",Table4[[#This Row],[Age]]&gt;=75,"Elderly")</f>
        <v>Elderly</v>
      </c>
    </row>
    <row r="13" spans="1:11" x14ac:dyDescent="0.25">
      <c r="A13" t="s">
        <v>37</v>
      </c>
      <c r="B13" t="s">
        <v>15</v>
      </c>
      <c r="C13" t="s">
        <v>28</v>
      </c>
      <c r="D13" t="s">
        <v>17</v>
      </c>
      <c r="E13" t="s">
        <v>13</v>
      </c>
      <c r="F13">
        <v>62</v>
      </c>
      <c r="G13">
        <v>148179.98000000001</v>
      </c>
      <c r="H13">
        <v>11</v>
      </c>
      <c r="I13">
        <v>87</v>
      </c>
      <c r="J13" t="str">
        <f>IF(Table4[[#This Row],[Treatment Cost]]&gt;77778.57, "High Cost", "Low Cost")</f>
        <v>High Cost</v>
      </c>
      <c r="K13" t="str" cm="1">
        <f t="array" ref="K13">_xlfn.IFS(Table4[[#This Row],[Age]]&lt;3,"Infant/Toddler",Table4[[#This Row],[Age]]&lt;13,"Child",Table4[[#This Row],[Age]]&lt;20,"Teenager",Table4[[#This Row],[Age]]&lt;30,"Young Adult",Table4[[#This Row],[Age]]&lt;45,"Adult",Table4[[#This Row],[Age]]&lt;60,"Middle-aged",Table4[[#This Row],[Age]]&lt;75,"Senior",Table4[[#This Row],[Age]]&gt;=75,"Elderly")</f>
        <v>Senior</v>
      </c>
    </row>
    <row r="14" spans="1:11" x14ac:dyDescent="0.25">
      <c r="A14" t="s">
        <v>183</v>
      </c>
      <c r="B14" t="s">
        <v>15</v>
      </c>
      <c r="C14" t="s">
        <v>28</v>
      </c>
      <c r="D14" t="s">
        <v>23</v>
      </c>
      <c r="E14" t="s">
        <v>18</v>
      </c>
      <c r="F14">
        <v>6</v>
      </c>
      <c r="G14">
        <v>116568.72</v>
      </c>
      <c r="H14">
        <v>24</v>
      </c>
      <c r="I14">
        <v>65</v>
      </c>
      <c r="J14" t="str">
        <f>IF(Table4[[#This Row],[Treatment Cost]]&gt;77778.57, "High Cost", "Low Cost")</f>
        <v>High Cost</v>
      </c>
      <c r="K14" t="str" cm="1">
        <f t="array" ref="K14">_xlfn.IFS(Table4[[#This Row],[Age]]&lt;3,"Infant/Toddler",Table4[[#This Row],[Age]]&lt;13,"Child",Table4[[#This Row],[Age]]&lt;20,"Teenager",Table4[[#This Row],[Age]]&lt;30,"Young Adult",Table4[[#This Row],[Age]]&lt;45,"Adult",Table4[[#This Row],[Age]]&lt;60,"Middle-aged",Table4[[#This Row],[Age]]&lt;75,"Senior",Table4[[#This Row],[Age]]&gt;=75,"Elderly")</f>
        <v>Child</v>
      </c>
    </row>
    <row r="15" spans="1:11" x14ac:dyDescent="0.25">
      <c r="A15" t="s">
        <v>175</v>
      </c>
      <c r="B15" t="s">
        <v>15</v>
      </c>
      <c r="C15" t="s">
        <v>11</v>
      </c>
      <c r="D15" t="s">
        <v>32</v>
      </c>
      <c r="E15" t="s">
        <v>13</v>
      </c>
      <c r="F15">
        <v>78</v>
      </c>
      <c r="G15">
        <v>15165.98</v>
      </c>
      <c r="H15">
        <v>25</v>
      </c>
      <c r="I15">
        <v>86</v>
      </c>
      <c r="J15" t="str">
        <f>IF(Table4[[#This Row],[Treatment Cost]]&gt;77778.57, "High Cost", "Low Cost")</f>
        <v>Low Cost</v>
      </c>
      <c r="K15" t="str" cm="1">
        <f t="array" ref="K15">_xlfn.IFS(Table4[[#This Row],[Age]]&lt;3,"Infant/Toddler",Table4[[#This Row],[Age]]&lt;13,"Child",Table4[[#This Row],[Age]]&lt;20,"Teenager",Table4[[#This Row],[Age]]&lt;30,"Young Adult",Table4[[#This Row],[Age]]&lt;45,"Adult",Table4[[#This Row],[Age]]&lt;60,"Middle-aged",Table4[[#This Row],[Age]]&lt;75,"Senior",Table4[[#This Row],[Age]]&gt;=75,"Elderly")</f>
        <v>Elderly</v>
      </c>
    </row>
    <row r="16" spans="1:11" x14ac:dyDescent="0.25">
      <c r="A16" t="s">
        <v>169</v>
      </c>
      <c r="B16" t="s">
        <v>15</v>
      </c>
      <c r="C16" t="s">
        <v>41</v>
      </c>
      <c r="D16" t="s">
        <v>32</v>
      </c>
      <c r="E16" t="s">
        <v>13</v>
      </c>
      <c r="F16">
        <v>57</v>
      </c>
      <c r="G16">
        <v>121600.57</v>
      </c>
      <c r="H16">
        <v>19</v>
      </c>
      <c r="I16">
        <v>94</v>
      </c>
      <c r="J16" t="str">
        <f>IF(Table4[[#This Row],[Treatment Cost]]&gt;77778.57, "High Cost", "Low Cost")</f>
        <v>High Cost</v>
      </c>
      <c r="K16" t="str" cm="1">
        <f t="array" ref="K16">_xlfn.IFS(Table4[[#This Row],[Age]]&lt;3,"Infant/Toddler",Table4[[#This Row],[Age]]&lt;13,"Child",Table4[[#This Row],[Age]]&lt;20,"Teenager",Table4[[#This Row],[Age]]&lt;30,"Young Adult",Table4[[#This Row],[Age]]&lt;45,"Adult",Table4[[#This Row],[Age]]&lt;60,"Middle-aged",Table4[[#This Row],[Age]]&lt;75,"Senior",Table4[[#This Row],[Age]]&gt;=75,"Elderly")</f>
        <v>Middle-aged</v>
      </c>
    </row>
    <row r="17" spans="1:11" x14ac:dyDescent="0.25">
      <c r="A17" t="s">
        <v>163</v>
      </c>
      <c r="B17" t="s">
        <v>15</v>
      </c>
      <c r="C17" t="s">
        <v>28</v>
      </c>
      <c r="D17" t="s">
        <v>17</v>
      </c>
      <c r="E17" t="s">
        <v>29</v>
      </c>
      <c r="F17">
        <v>27</v>
      </c>
      <c r="G17">
        <v>79666.86</v>
      </c>
      <c r="H17">
        <v>16</v>
      </c>
      <c r="I17">
        <v>85</v>
      </c>
      <c r="J17" t="str">
        <f>IF(Table4[[#This Row],[Treatment Cost]]&gt;77778.57, "High Cost", "Low Cost")</f>
        <v>High Cost</v>
      </c>
      <c r="K17" t="str" cm="1">
        <f t="array" ref="K17">_xlfn.IFS(Table4[[#This Row],[Age]]&lt;3,"Infant/Toddler",Table4[[#This Row],[Age]]&lt;13,"Child",Table4[[#This Row],[Age]]&lt;20,"Teenager",Table4[[#This Row],[Age]]&lt;30,"Young Adult",Table4[[#This Row],[Age]]&lt;45,"Adult",Table4[[#This Row],[Age]]&lt;60,"Middle-aged",Table4[[#This Row],[Age]]&lt;75,"Senior",Table4[[#This Row],[Age]]&gt;=75,"Elderly")</f>
        <v>Young Adult</v>
      </c>
    </row>
    <row r="18" spans="1:11" x14ac:dyDescent="0.25">
      <c r="A18" t="s">
        <v>155</v>
      </c>
      <c r="B18" t="s">
        <v>15</v>
      </c>
      <c r="C18" t="s">
        <v>41</v>
      </c>
      <c r="D18" t="s">
        <v>32</v>
      </c>
      <c r="E18" t="s">
        <v>13</v>
      </c>
      <c r="F18">
        <v>73</v>
      </c>
      <c r="G18">
        <v>148956.56</v>
      </c>
      <c r="H18">
        <v>6</v>
      </c>
      <c r="I18">
        <v>100</v>
      </c>
      <c r="J18" t="str">
        <f>IF(Table4[[#This Row],[Treatment Cost]]&gt;77778.57, "High Cost", "Low Cost")</f>
        <v>High Cost</v>
      </c>
      <c r="K18" t="str" cm="1">
        <f t="array" ref="K18">_xlfn.IFS(Table4[[#This Row],[Age]]&lt;3,"Infant/Toddler",Table4[[#This Row],[Age]]&lt;13,"Child",Table4[[#This Row],[Age]]&lt;20,"Teenager",Table4[[#This Row],[Age]]&lt;30,"Young Adult",Table4[[#This Row],[Age]]&lt;45,"Adult",Table4[[#This Row],[Age]]&lt;60,"Middle-aged",Table4[[#This Row],[Age]]&lt;75,"Senior",Table4[[#This Row],[Age]]&gt;=75,"Elderly")</f>
        <v>Senior</v>
      </c>
    </row>
    <row r="19" spans="1:11" x14ac:dyDescent="0.25">
      <c r="A19" t="s">
        <v>153</v>
      </c>
      <c r="B19" t="s">
        <v>15</v>
      </c>
      <c r="C19" t="s">
        <v>41</v>
      </c>
      <c r="D19" t="s">
        <v>23</v>
      </c>
      <c r="E19" t="s">
        <v>18</v>
      </c>
      <c r="F19">
        <v>88</v>
      </c>
      <c r="G19">
        <v>50993.47</v>
      </c>
      <c r="H19">
        <v>4</v>
      </c>
      <c r="I19">
        <v>82</v>
      </c>
      <c r="J19" t="str">
        <f>IF(Table4[[#This Row],[Treatment Cost]]&gt;77778.57, "High Cost", "Low Cost")</f>
        <v>Low Cost</v>
      </c>
      <c r="K19" t="str" cm="1">
        <f t="array" ref="K19">_xlfn.IFS(Table4[[#This Row],[Age]]&lt;3,"Infant/Toddler",Table4[[#This Row],[Age]]&lt;13,"Child",Table4[[#This Row],[Age]]&lt;20,"Teenager",Table4[[#This Row],[Age]]&lt;30,"Young Adult",Table4[[#This Row],[Age]]&lt;45,"Adult",Table4[[#This Row],[Age]]&lt;60,"Middle-aged",Table4[[#This Row],[Age]]&lt;75,"Senior",Table4[[#This Row],[Age]]&gt;=75,"Elderly")</f>
        <v>Elderly</v>
      </c>
    </row>
    <row r="20" spans="1:11" x14ac:dyDescent="0.25">
      <c r="A20" t="s">
        <v>45</v>
      </c>
      <c r="B20" t="s">
        <v>15</v>
      </c>
      <c r="C20" t="s">
        <v>41</v>
      </c>
      <c r="D20" t="s">
        <v>23</v>
      </c>
      <c r="E20" t="s">
        <v>18</v>
      </c>
      <c r="F20">
        <v>1</v>
      </c>
      <c r="G20">
        <v>43174.44</v>
      </c>
      <c r="H20">
        <v>24</v>
      </c>
      <c r="I20">
        <v>100</v>
      </c>
      <c r="J20" t="str">
        <f>IF(Table4[[#This Row],[Treatment Cost]]&gt;77778.57, "High Cost", "Low Cost")</f>
        <v>Low Cost</v>
      </c>
      <c r="K20" t="str" cm="1">
        <f t="array" ref="K20">_xlfn.IFS(Table4[[#This Row],[Age]]&lt;3,"Infant/Toddler",Table4[[#This Row],[Age]]&lt;13,"Child",Table4[[#This Row],[Age]]&lt;20,"Teenager",Table4[[#This Row],[Age]]&lt;30,"Young Adult",Table4[[#This Row],[Age]]&lt;45,"Adult",Table4[[#This Row],[Age]]&lt;60,"Middle-aged",Table4[[#This Row],[Age]]&lt;75,"Senior",Table4[[#This Row],[Age]]&gt;=75,"Elderly")</f>
        <v>Infant/Toddler</v>
      </c>
    </row>
    <row r="21" spans="1:11" x14ac:dyDescent="0.25">
      <c r="A21" t="s">
        <v>149</v>
      </c>
      <c r="B21" t="s">
        <v>15</v>
      </c>
      <c r="C21" t="s">
        <v>28</v>
      </c>
      <c r="D21" t="s">
        <v>26</v>
      </c>
      <c r="E21" t="s">
        <v>13</v>
      </c>
      <c r="F21">
        <v>30</v>
      </c>
      <c r="G21">
        <v>91267.91</v>
      </c>
      <c r="H21">
        <v>17</v>
      </c>
      <c r="I21">
        <v>76</v>
      </c>
      <c r="J21" t="str">
        <f>IF(Table4[[#This Row],[Treatment Cost]]&gt;77778.57, "High Cost", "Low Cost")</f>
        <v>High Cost</v>
      </c>
      <c r="K21" t="str" cm="1">
        <f t="array" ref="K21">_xlfn.IFS(Table4[[#This Row],[Age]]&lt;3,"Infant/Toddler",Table4[[#This Row],[Age]]&lt;13,"Child",Table4[[#This Row],[Age]]&lt;20,"Teenager",Table4[[#This Row],[Age]]&lt;30,"Young Adult",Table4[[#This Row],[Age]]&lt;45,"Adult",Table4[[#This Row],[Age]]&lt;60,"Middle-aged",Table4[[#This Row],[Age]]&lt;75,"Senior",Table4[[#This Row],[Age]]&gt;=75,"Elderly")</f>
        <v>Adult</v>
      </c>
    </row>
    <row r="22" spans="1:11" x14ac:dyDescent="0.25">
      <c r="A22" t="s">
        <v>47</v>
      </c>
      <c r="B22" t="s">
        <v>15</v>
      </c>
      <c r="C22" t="s">
        <v>11</v>
      </c>
      <c r="D22" t="s">
        <v>26</v>
      </c>
      <c r="E22" t="s">
        <v>18</v>
      </c>
      <c r="F22">
        <v>31</v>
      </c>
      <c r="G22">
        <v>51842.34</v>
      </c>
      <c r="H22">
        <v>15</v>
      </c>
      <c r="I22">
        <v>74</v>
      </c>
      <c r="J22" t="str">
        <f>IF(Table4[[#This Row],[Treatment Cost]]&gt;77778.57, "High Cost", "Low Cost")</f>
        <v>Low Cost</v>
      </c>
      <c r="K22" t="str" cm="1">
        <f t="array" ref="K22">_xlfn.IFS(Table4[[#This Row],[Age]]&lt;3,"Infant/Toddler",Table4[[#This Row],[Age]]&lt;13,"Child",Table4[[#This Row],[Age]]&lt;20,"Teenager",Table4[[#This Row],[Age]]&lt;30,"Young Adult",Table4[[#This Row],[Age]]&lt;45,"Adult",Table4[[#This Row],[Age]]&lt;60,"Middle-aged",Table4[[#This Row],[Age]]&lt;75,"Senior",Table4[[#This Row],[Age]]&gt;=75,"Elderly")</f>
        <v>Adult</v>
      </c>
    </row>
    <row r="23" spans="1:11" x14ac:dyDescent="0.25">
      <c r="A23" t="s">
        <v>146</v>
      </c>
      <c r="B23" t="s">
        <v>15</v>
      </c>
      <c r="C23" t="s">
        <v>16</v>
      </c>
      <c r="D23" t="s">
        <v>23</v>
      </c>
      <c r="E23" t="s">
        <v>13</v>
      </c>
      <c r="F23">
        <v>48</v>
      </c>
      <c r="G23">
        <v>117464.18</v>
      </c>
      <c r="H23">
        <v>2</v>
      </c>
      <c r="I23">
        <v>61</v>
      </c>
      <c r="J23" t="str">
        <f>IF(Table4[[#This Row],[Treatment Cost]]&gt;77778.57, "High Cost", "Low Cost")</f>
        <v>High Cost</v>
      </c>
      <c r="K23" t="str" cm="1">
        <f t="array" ref="K23">_xlfn.IFS(Table4[[#This Row],[Age]]&lt;3,"Infant/Toddler",Table4[[#This Row],[Age]]&lt;13,"Child",Table4[[#This Row],[Age]]&lt;20,"Teenager",Table4[[#This Row],[Age]]&lt;30,"Young Adult",Table4[[#This Row],[Age]]&lt;45,"Adult",Table4[[#This Row],[Age]]&lt;60,"Middle-aged",Table4[[#This Row],[Age]]&lt;75,"Senior",Table4[[#This Row],[Age]]&gt;=75,"Elderly")</f>
        <v>Middle-aged</v>
      </c>
    </row>
    <row r="24" spans="1:11" x14ac:dyDescent="0.25">
      <c r="A24" t="s">
        <v>134</v>
      </c>
      <c r="B24" t="s">
        <v>15</v>
      </c>
      <c r="C24" t="s">
        <v>16</v>
      </c>
      <c r="D24" t="s">
        <v>17</v>
      </c>
      <c r="E24" t="s">
        <v>29</v>
      </c>
      <c r="F24">
        <v>62</v>
      </c>
      <c r="G24">
        <v>34938.57</v>
      </c>
      <c r="H24">
        <v>8</v>
      </c>
      <c r="I24">
        <v>70</v>
      </c>
      <c r="J24" t="str">
        <f>IF(Table4[[#This Row],[Treatment Cost]]&gt;77778.57, "High Cost", "Low Cost")</f>
        <v>Low Cost</v>
      </c>
      <c r="K24" t="str" cm="1">
        <f t="array" ref="K24">_xlfn.IFS(Table4[[#This Row],[Age]]&lt;3,"Infant/Toddler",Table4[[#This Row],[Age]]&lt;13,"Child",Table4[[#This Row],[Age]]&lt;20,"Teenager",Table4[[#This Row],[Age]]&lt;30,"Young Adult",Table4[[#This Row],[Age]]&lt;45,"Adult",Table4[[#This Row],[Age]]&lt;60,"Middle-aged",Table4[[#This Row],[Age]]&lt;75,"Senior",Table4[[#This Row],[Age]]&gt;=75,"Elderly")</f>
        <v>Senior</v>
      </c>
    </row>
    <row r="25" spans="1:11" x14ac:dyDescent="0.25">
      <c r="A25" t="s">
        <v>131</v>
      </c>
      <c r="B25" t="s">
        <v>15</v>
      </c>
      <c r="C25" t="s">
        <v>28</v>
      </c>
      <c r="D25" t="s">
        <v>26</v>
      </c>
      <c r="E25" t="s">
        <v>13</v>
      </c>
      <c r="F25">
        <v>52</v>
      </c>
      <c r="G25">
        <v>97685.72</v>
      </c>
      <c r="H25">
        <v>28</v>
      </c>
      <c r="I25">
        <v>59</v>
      </c>
      <c r="J25" t="str">
        <f>IF(Table4[[#This Row],[Treatment Cost]]&gt;77778.57, "High Cost", "Low Cost")</f>
        <v>High Cost</v>
      </c>
      <c r="K25" t="str" cm="1">
        <f t="array" ref="K25">_xlfn.IFS(Table4[[#This Row],[Age]]&lt;3,"Infant/Toddler",Table4[[#This Row],[Age]]&lt;13,"Child",Table4[[#This Row],[Age]]&lt;20,"Teenager",Table4[[#This Row],[Age]]&lt;30,"Young Adult",Table4[[#This Row],[Age]]&lt;45,"Adult",Table4[[#This Row],[Age]]&lt;60,"Middle-aged",Table4[[#This Row],[Age]]&lt;75,"Senior",Table4[[#This Row],[Age]]&gt;=75,"Elderly")</f>
        <v>Middle-aged</v>
      </c>
    </row>
    <row r="26" spans="1:11" x14ac:dyDescent="0.25">
      <c r="A26" t="s">
        <v>51</v>
      </c>
      <c r="B26" t="s">
        <v>15</v>
      </c>
      <c r="C26" t="s">
        <v>16</v>
      </c>
      <c r="D26" t="s">
        <v>12</v>
      </c>
      <c r="E26" t="s">
        <v>18</v>
      </c>
      <c r="F26">
        <v>35</v>
      </c>
      <c r="G26">
        <v>54350.5</v>
      </c>
      <c r="H26">
        <v>24</v>
      </c>
      <c r="I26">
        <v>70</v>
      </c>
      <c r="J26" t="str">
        <f>IF(Table4[[#This Row],[Treatment Cost]]&gt;77778.57, "High Cost", "Low Cost")</f>
        <v>Low Cost</v>
      </c>
      <c r="K26" t="str" cm="1">
        <f t="array" ref="K26">_xlfn.IFS(Table4[[#This Row],[Age]]&lt;3,"Infant/Toddler",Table4[[#This Row],[Age]]&lt;13,"Child",Table4[[#This Row],[Age]]&lt;20,"Teenager",Table4[[#This Row],[Age]]&lt;30,"Young Adult",Table4[[#This Row],[Age]]&lt;45,"Adult",Table4[[#This Row],[Age]]&lt;60,"Middle-aged",Table4[[#This Row],[Age]]&lt;75,"Senior",Table4[[#This Row],[Age]]&gt;=75,"Elderly")</f>
        <v>Adult</v>
      </c>
    </row>
    <row r="27" spans="1:11" x14ac:dyDescent="0.25">
      <c r="A27" t="s">
        <v>124</v>
      </c>
      <c r="B27" t="s">
        <v>15</v>
      </c>
      <c r="C27" t="s">
        <v>11</v>
      </c>
      <c r="D27" t="s">
        <v>12</v>
      </c>
      <c r="E27" t="s">
        <v>29</v>
      </c>
      <c r="F27">
        <v>35</v>
      </c>
      <c r="G27">
        <v>85523.17</v>
      </c>
      <c r="H27">
        <v>30</v>
      </c>
      <c r="I27">
        <v>90</v>
      </c>
      <c r="J27" t="str">
        <f>IF(Table4[[#This Row],[Treatment Cost]]&gt;77778.57, "High Cost", "Low Cost")</f>
        <v>High Cost</v>
      </c>
      <c r="K27" t="str" cm="1">
        <f t="array" ref="K27">_xlfn.IFS(Table4[[#This Row],[Age]]&lt;3,"Infant/Toddler",Table4[[#This Row],[Age]]&lt;13,"Child",Table4[[#This Row],[Age]]&lt;20,"Teenager",Table4[[#This Row],[Age]]&lt;30,"Young Adult",Table4[[#This Row],[Age]]&lt;45,"Adult",Table4[[#This Row],[Age]]&lt;60,"Middle-aged",Table4[[#This Row],[Age]]&lt;75,"Senior",Table4[[#This Row],[Age]]&gt;=75,"Elderly")</f>
        <v>Adult</v>
      </c>
    </row>
    <row r="28" spans="1:11" x14ac:dyDescent="0.25">
      <c r="A28" t="s">
        <v>118</v>
      </c>
      <c r="B28" t="s">
        <v>15</v>
      </c>
      <c r="C28" t="s">
        <v>11</v>
      </c>
      <c r="D28" t="s">
        <v>17</v>
      </c>
      <c r="E28" t="s">
        <v>29</v>
      </c>
      <c r="F28">
        <v>66</v>
      </c>
      <c r="G28">
        <v>54562.1</v>
      </c>
      <c r="H28">
        <v>21</v>
      </c>
      <c r="I28">
        <v>86</v>
      </c>
      <c r="J28" t="str">
        <f>IF(Table4[[#This Row],[Treatment Cost]]&gt;77778.57, "High Cost", "Low Cost")</f>
        <v>Low Cost</v>
      </c>
      <c r="K28" t="str" cm="1">
        <f t="array" ref="K28">_xlfn.IFS(Table4[[#This Row],[Age]]&lt;3,"Infant/Toddler",Table4[[#This Row],[Age]]&lt;13,"Child",Table4[[#This Row],[Age]]&lt;20,"Teenager",Table4[[#This Row],[Age]]&lt;30,"Young Adult",Table4[[#This Row],[Age]]&lt;45,"Adult",Table4[[#This Row],[Age]]&lt;60,"Middle-aged",Table4[[#This Row],[Age]]&lt;75,"Senior",Table4[[#This Row],[Age]]&gt;=75,"Elderly")</f>
        <v>Senior</v>
      </c>
    </row>
    <row r="29" spans="1:11" x14ac:dyDescent="0.25">
      <c r="A29" t="s">
        <v>114</v>
      </c>
      <c r="B29" t="s">
        <v>15</v>
      </c>
      <c r="C29" t="s">
        <v>41</v>
      </c>
      <c r="D29" t="s">
        <v>12</v>
      </c>
      <c r="E29" t="s">
        <v>18</v>
      </c>
      <c r="F29">
        <v>37</v>
      </c>
      <c r="G29">
        <v>8578.83</v>
      </c>
      <c r="H29">
        <v>2</v>
      </c>
      <c r="I29">
        <v>90</v>
      </c>
      <c r="J29" t="str">
        <f>IF(Table4[[#This Row],[Treatment Cost]]&gt;77778.57, "High Cost", "Low Cost")</f>
        <v>Low Cost</v>
      </c>
      <c r="K29" t="str" cm="1">
        <f t="array" ref="K29">_xlfn.IFS(Table4[[#This Row],[Age]]&lt;3,"Infant/Toddler",Table4[[#This Row],[Age]]&lt;13,"Child",Table4[[#This Row],[Age]]&lt;20,"Teenager",Table4[[#This Row],[Age]]&lt;30,"Young Adult",Table4[[#This Row],[Age]]&lt;45,"Adult",Table4[[#This Row],[Age]]&lt;60,"Middle-aged",Table4[[#This Row],[Age]]&lt;75,"Senior",Table4[[#This Row],[Age]]&gt;=75,"Elderly")</f>
        <v>Adult</v>
      </c>
    </row>
    <row r="30" spans="1:11" x14ac:dyDescent="0.25">
      <c r="A30" t="s">
        <v>113</v>
      </c>
      <c r="B30" t="s">
        <v>15</v>
      </c>
      <c r="C30" t="s">
        <v>16</v>
      </c>
      <c r="D30" t="s">
        <v>17</v>
      </c>
      <c r="E30" t="s">
        <v>29</v>
      </c>
      <c r="F30">
        <v>1</v>
      </c>
      <c r="G30">
        <v>16874.009999999998</v>
      </c>
      <c r="H30">
        <v>14</v>
      </c>
      <c r="I30">
        <v>76</v>
      </c>
      <c r="J30" t="str">
        <f>IF(Table4[[#This Row],[Treatment Cost]]&gt;77778.57, "High Cost", "Low Cost")</f>
        <v>Low Cost</v>
      </c>
      <c r="K30" t="str" cm="1">
        <f t="array" ref="K30">_xlfn.IFS(Table4[[#This Row],[Age]]&lt;3,"Infant/Toddler",Table4[[#This Row],[Age]]&lt;13,"Child",Table4[[#This Row],[Age]]&lt;20,"Teenager",Table4[[#This Row],[Age]]&lt;30,"Young Adult",Table4[[#This Row],[Age]]&lt;45,"Adult",Table4[[#This Row],[Age]]&lt;60,"Middle-aged",Table4[[#This Row],[Age]]&lt;75,"Senior",Table4[[#This Row],[Age]]&gt;=75,"Elderly")</f>
        <v>Infant/Toddler</v>
      </c>
    </row>
    <row r="31" spans="1:11" x14ac:dyDescent="0.25">
      <c r="A31" t="s">
        <v>111</v>
      </c>
      <c r="B31" t="s">
        <v>15</v>
      </c>
      <c r="C31" t="s">
        <v>16</v>
      </c>
      <c r="D31" t="s">
        <v>17</v>
      </c>
      <c r="E31" t="s">
        <v>29</v>
      </c>
      <c r="F31">
        <v>40</v>
      </c>
      <c r="G31">
        <v>19717.900000000001</v>
      </c>
      <c r="H31">
        <v>20</v>
      </c>
      <c r="I31">
        <v>63</v>
      </c>
      <c r="J31" t="str">
        <f>IF(Table4[[#This Row],[Treatment Cost]]&gt;77778.57, "High Cost", "Low Cost")</f>
        <v>Low Cost</v>
      </c>
      <c r="K31" t="str" cm="1">
        <f t="array" ref="K31">_xlfn.IFS(Table4[[#This Row],[Age]]&lt;3,"Infant/Toddler",Table4[[#This Row],[Age]]&lt;13,"Child",Table4[[#This Row],[Age]]&lt;20,"Teenager",Table4[[#This Row],[Age]]&lt;30,"Young Adult",Table4[[#This Row],[Age]]&lt;45,"Adult",Table4[[#This Row],[Age]]&lt;60,"Middle-aged",Table4[[#This Row],[Age]]&lt;75,"Senior",Table4[[#This Row],[Age]]&gt;=75,"Elderly")</f>
        <v>Adult</v>
      </c>
    </row>
    <row r="32" spans="1:11" x14ac:dyDescent="0.25">
      <c r="A32" t="s">
        <v>85</v>
      </c>
      <c r="B32" t="s">
        <v>15</v>
      </c>
      <c r="C32" t="s">
        <v>28</v>
      </c>
      <c r="D32" t="s">
        <v>17</v>
      </c>
      <c r="E32" t="s">
        <v>18</v>
      </c>
      <c r="F32">
        <v>75</v>
      </c>
      <c r="G32">
        <v>79671.37</v>
      </c>
      <c r="H32">
        <v>30</v>
      </c>
      <c r="I32">
        <v>43</v>
      </c>
      <c r="J32" t="str">
        <f>IF(Table4[[#This Row],[Treatment Cost]]&gt;77778.57, "High Cost", "Low Cost")</f>
        <v>High Cost</v>
      </c>
      <c r="K32" t="str" cm="1">
        <f t="array" ref="K32">_xlfn.IFS(Table4[[#This Row],[Age]]&lt;3,"Infant/Toddler",Table4[[#This Row],[Age]]&lt;13,"Child",Table4[[#This Row],[Age]]&lt;20,"Teenager",Table4[[#This Row],[Age]]&lt;30,"Young Adult",Table4[[#This Row],[Age]]&lt;45,"Adult",Table4[[#This Row],[Age]]&lt;60,"Middle-aged",Table4[[#This Row],[Age]]&lt;75,"Senior",Table4[[#This Row],[Age]]&gt;=75,"Elderly")</f>
        <v>Elderly</v>
      </c>
    </row>
    <row r="33" spans="1:11" x14ac:dyDescent="0.25">
      <c r="A33" t="s">
        <v>83</v>
      </c>
      <c r="B33" t="s">
        <v>15</v>
      </c>
      <c r="C33" t="s">
        <v>11</v>
      </c>
      <c r="D33" t="s">
        <v>12</v>
      </c>
      <c r="E33" t="s">
        <v>18</v>
      </c>
      <c r="F33">
        <v>7</v>
      </c>
      <c r="G33">
        <v>127110.45</v>
      </c>
      <c r="H33">
        <v>30</v>
      </c>
      <c r="I33">
        <v>100</v>
      </c>
      <c r="J33" t="str">
        <f>IF(Table4[[#This Row],[Treatment Cost]]&gt;77778.57, "High Cost", "Low Cost")</f>
        <v>High Cost</v>
      </c>
      <c r="K33" t="str" cm="1">
        <f t="array" ref="K33">_xlfn.IFS(Table4[[#This Row],[Age]]&lt;3,"Infant/Toddler",Table4[[#This Row],[Age]]&lt;13,"Child",Table4[[#This Row],[Age]]&lt;20,"Teenager",Table4[[#This Row],[Age]]&lt;30,"Young Adult",Table4[[#This Row],[Age]]&lt;45,"Adult",Table4[[#This Row],[Age]]&lt;60,"Middle-aged",Table4[[#This Row],[Age]]&lt;75,"Senior",Table4[[#This Row],[Age]]&gt;=75,"Elderly")</f>
        <v>Child</v>
      </c>
    </row>
    <row r="34" spans="1:11" x14ac:dyDescent="0.25">
      <c r="A34" t="s">
        <v>75</v>
      </c>
      <c r="B34" t="s">
        <v>15</v>
      </c>
      <c r="C34" t="s">
        <v>41</v>
      </c>
      <c r="D34" t="s">
        <v>12</v>
      </c>
      <c r="E34" t="s">
        <v>18</v>
      </c>
      <c r="F34">
        <v>66</v>
      </c>
      <c r="G34">
        <v>84096.91</v>
      </c>
      <c r="H34">
        <v>18</v>
      </c>
      <c r="I34">
        <v>91</v>
      </c>
      <c r="J34" t="str">
        <f>IF(Table4[[#This Row],[Treatment Cost]]&gt;77778.57, "High Cost", "Low Cost")</f>
        <v>High Cost</v>
      </c>
      <c r="K34" t="str" cm="1">
        <f t="array" ref="K34">_xlfn.IFS(Table4[[#This Row],[Age]]&lt;3,"Infant/Toddler",Table4[[#This Row],[Age]]&lt;13,"Child",Table4[[#This Row],[Age]]&lt;20,"Teenager",Table4[[#This Row],[Age]]&lt;30,"Young Adult",Table4[[#This Row],[Age]]&lt;45,"Adult",Table4[[#This Row],[Age]]&lt;60,"Middle-aged",Table4[[#This Row],[Age]]&lt;75,"Senior",Table4[[#This Row],[Age]]&gt;=75,"Elderly")</f>
        <v>Senior</v>
      </c>
    </row>
    <row r="35" spans="1:11" x14ac:dyDescent="0.25">
      <c r="A35" t="s">
        <v>70</v>
      </c>
      <c r="B35" t="s">
        <v>15</v>
      </c>
      <c r="C35" t="s">
        <v>28</v>
      </c>
      <c r="D35" t="s">
        <v>23</v>
      </c>
      <c r="E35" t="s">
        <v>18</v>
      </c>
      <c r="F35">
        <v>62</v>
      </c>
      <c r="G35">
        <v>149340.16</v>
      </c>
      <c r="H35">
        <v>18</v>
      </c>
      <c r="I35">
        <v>49</v>
      </c>
      <c r="J35" t="str">
        <f>IF(Table4[[#This Row],[Treatment Cost]]&gt;77778.57, "High Cost", "Low Cost")</f>
        <v>High Cost</v>
      </c>
      <c r="K35" t="str" cm="1">
        <f t="array" ref="K35">_xlfn.IFS(Table4[[#This Row],[Age]]&lt;3,"Infant/Toddler",Table4[[#This Row],[Age]]&lt;13,"Child",Table4[[#This Row],[Age]]&lt;20,"Teenager",Table4[[#This Row],[Age]]&lt;30,"Young Adult",Table4[[#This Row],[Age]]&lt;45,"Adult",Table4[[#This Row],[Age]]&lt;60,"Middle-aged",Table4[[#This Row],[Age]]&lt;75,"Senior",Table4[[#This Row],[Age]]&gt;=75,"Elderly")</f>
        <v>Senior</v>
      </c>
    </row>
    <row r="36" spans="1:11" x14ac:dyDescent="0.25">
      <c r="A36" t="s">
        <v>67</v>
      </c>
      <c r="B36" t="s">
        <v>15</v>
      </c>
      <c r="C36" t="s">
        <v>28</v>
      </c>
      <c r="D36" t="s">
        <v>23</v>
      </c>
      <c r="E36" t="s">
        <v>18</v>
      </c>
      <c r="F36">
        <v>31</v>
      </c>
      <c r="G36">
        <v>113414.83</v>
      </c>
      <c r="H36">
        <v>8</v>
      </c>
      <c r="I36">
        <v>70</v>
      </c>
      <c r="J36" t="str">
        <f>IF(Table4[[#This Row],[Treatment Cost]]&gt;77778.57, "High Cost", "Low Cost")</f>
        <v>High Cost</v>
      </c>
      <c r="K36" t="str" cm="1">
        <f t="array" ref="K36">_xlfn.IFS(Table4[[#This Row],[Age]]&lt;3,"Infant/Toddler",Table4[[#This Row],[Age]]&lt;13,"Child",Table4[[#This Row],[Age]]&lt;20,"Teenager",Table4[[#This Row],[Age]]&lt;30,"Young Adult",Table4[[#This Row],[Age]]&lt;45,"Adult",Table4[[#This Row],[Age]]&lt;60,"Middle-aged",Table4[[#This Row],[Age]]&lt;75,"Senior",Table4[[#This Row],[Age]]&gt;=75,"Elderly")</f>
        <v>Adult</v>
      </c>
    </row>
    <row r="37" spans="1:11" x14ac:dyDescent="0.25">
      <c r="A37" t="s">
        <v>66</v>
      </c>
      <c r="B37" t="s">
        <v>15</v>
      </c>
      <c r="C37" t="s">
        <v>41</v>
      </c>
      <c r="D37" t="s">
        <v>23</v>
      </c>
      <c r="E37" t="s">
        <v>18</v>
      </c>
      <c r="F37">
        <v>14</v>
      </c>
      <c r="G37">
        <v>9067.3799999999992</v>
      </c>
      <c r="H37">
        <v>28</v>
      </c>
      <c r="I37">
        <v>86</v>
      </c>
      <c r="J37" t="str">
        <f>IF(Table4[[#This Row],[Treatment Cost]]&gt;77778.57, "High Cost", "Low Cost")</f>
        <v>Low Cost</v>
      </c>
      <c r="K37" t="str" cm="1">
        <f t="array" ref="K37">_xlfn.IFS(Table4[[#This Row],[Age]]&lt;3,"Infant/Toddler",Table4[[#This Row],[Age]]&lt;13,"Child",Table4[[#This Row],[Age]]&lt;20,"Teenager",Table4[[#This Row],[Age]]&lt;30,"Young Adult",Table4[[#This Row],[Age]]&lt;45,"Adult",Table4[[#This Row],[Age]]&lt;60,"Middle-aged",Table4[[#This Row],[Age]]&lt;75,"Senior",Table4[[#This Row],[Age]]&gt;=75,"Elderly")</f>
        <v>Teenager</v>
      </c>
    </row>
    <row r="38" spans="1:11" x14ac:dyDescent="0.25">
      <c r="A38" t="s">
        <v>63</v>
      </c>
      <c r="B38" t="s">
        <v>15</v>
      </c>
      <c r="C38" t="s">
        <v>11</v>
      </c>
      <c r="D38" t="s">
        <v>17</v>
      </c>
      <c r="E38" t="s">
        <v>13</v>
      </c>
      <c r="F38">
        <v>41</v>
      </c>
      <c r="G38">
        <v>143381.07</v>
      </c>
      <c r="H38">
        <v>1</v>
      </c>
      <c r="I38">
        <v>87</v>
      </c>
      <c r="J38" t="str">
        <f>IF(Table4[[#This Row],[Treatment Cost]]&gt;77778.57, "High Cost", "Low Cost")</f>
        <v>High Cost</v>
      </c>
      <c r="K38" t="str" cm="1">
        <f t="array" ref="K38">_xlfn.IFS(Table4[[#This Row],[Age]]&lt;3,"Infant/Toddler",Table4[[#This Row],[Age]]&lt;13,"Child",Table4[[#This Row],[Age]]&lt;20,"Teenager",Table4[[#This Row],[Age]]&lt;30,"Young Adult",Table4[[#This Row],[Age]]&lt;45,"Adult",Table4[[#This Row],[Age]]&lt;60,"Middle-aged",Table4[[#This Row],[Age]]&lt;75,"Senior",Table4[[#This Row],[Age]]&gt;=75,"Elderly")</f>
        <v>Adult</v>
      </c>
    </row>
    <row r="39" spans="1:11" x14ac:dyDescent="0.25">
      <c r="A39" t="s">
        <v>64</v>
      </c>
      <c r="B39" t="s">
        <v>15</v>
      </c>
      <c r="C39" t="s">
        <v>11</v>
      </c>
      <c r="D39" t="s">
        <v>17</v>
      </c>
      <c r="E39" t="s">
        <v>18</v>
      </c>
      <c r="F39">
        <v>3</v>
      </c>
      <c r="G39">
        <v>50045.440000000002</v>
      </c>
      <c r="H39">
        <v>15</v>
      </c>
      <c r="I39">
        <v>84</v>
      </c>
      <c r="J39" t="str">
        <f>IF(Table4[[#This Row],[Treatment Cost]]&gt;77778.57, "High Cost", "Low Cost")</f>
        <v>Low Cost</v>
      </c>
      <c r="K39" t="str" cm="1">
        <f t="array" ref="K39">_xlfn.IFS(Table4[[#This Row],[Age]]&lt;3,"Infant/Toddler",Table4[[#This Row],[Age]]&lt;13,"Child",Table4[[#This Row],[Age]]&lt;20,"Teenager",Table4[[#This Row],[Age]]&lt;30,"Young Adult",Table4[[#This Row],[Age]]&lt;45,"Adult",Table4[[#This Row],[Age]]&lt;60,"Middle-aged",Table4[[#This Row],[Age]]&lt;75,"Senior",Table4[[#This Row],[Age]]&gt;=75,"Elderly")</f>
        <v>Child</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000"/>
  </sheetPr>
  <dimension ref="A3:R81"/>
  <sheetViews>
    <sheetView topLeftCell="A54" zoomScale="82" zoomScaleNormal="82" workbookViewId="0">
      <selection activeCell="N75" sqref="N75"/>
    </sheetView>
  </sheetViews>
  <sheetFormatPr defaultRowHeight="15" x14ac:dyDescent="0.25"/>
  <cols>
    <col min="1" max="1" width="17.85546875" bestFit="1" customWidth="1"/>
    <col min="2" max="2" width="24.85546875" bestFit="1" customWidth="1"/>
    <col min="3" max="3" width="22.140625" bestFit="1" customWidth="1"/>
    <col min="4" max="4" width="25" bestFit="1" customWidth="1"/>
  </cols>
  <sheetData>
    <row r="3" spans="1:18" x14ac:dyDescent="0.25">
      <c r="A3" s="1" t="s">
        <v>1</v>
      </c>
      <c r="B3" t="s">
        <v>228</v>
      </c>
      <c r="C3" t="s">
        <v>229</v>
      </c>
      <c r="D3" t="s">
        <v>230</v>
      </c>
    </row>
    <row r="4" spans="1:18" x14ac:dyDescent="0.25">
      <c r="A4" s="2" t="s">
        <v>15</v>
      </c>
      <c r="B4" s="4">
        <v>73.131578947368425</v>
      </c>
      <c r="C4" s="4">
        <v>42</v>
      </c>
      <c r="D4" s="4">
        <v>17.727930402572756</v>
      </c>
    </row>
    <row r="5" spans="1:18" x14ac:dyDescent="0.25">
      <c r="A5" s="2" t="s">
        <v>22</v>
      </c>
      <c r="B5" s="4">
        <v>67.263157894736835</v>
      </c>
      <c r="C5" s="4">
        <v>40</v>
      </c>
      <c r="D5" s="4">
        <v>16.439379567641545</v>
      </c>
    </row>
    <row r="6" spans="1:18" x14ac:dyDescent="0.25">
      <c r="A6" s="2" t="s">
        <v>36</v>
      </c>
      <c r="B6" s="4">
        <v>72.41935483870968</v>
      </c>
      <c r="C6" s="4">
        <v>41</v>
      </c>
      <c r="D6" s="4">
        <v>17.819042610923095</v>
      </c>
    </row>
    <row r="7" spans="1:18" x14ac:dyDescent="0.25">
      <c r="A7" s="2" t="s">
        <v>31</v>
      </c>
      <c r="B7" s="4">
        <v>66.392857142857139</v>
      </c>
      <c r="C7" s="4">
        <v>40</v>
      </c>
      <c r="D7" s="4">
        <v>19.085265376655212</v>
      </c>
    </row>
    <row r="8" spans="1:18" x14ac:dyDescent="0.25">
      <c r="A8" s="2" t="s">
        <v>10</v>
      </c>
      <c r="B8" s="4">
        <v>71.804878048780495</v>
      </c>
      <c r="C8" s="4">
        <v>40</v>
      </c>
      <c r="D8" s="4">
        <v>16.895590419093264</v>
      </c>
    </row>
    <row r="9" spans="1:18" x14ac:dyDescent="0.25">
      <c r="A9" s="2" t="s">
        <v>25</v>
      </c>
      <c r="B9" s="4">
        <v>70.5</v>
      </c>
      <c r="C9" s="4">
        <v>41</v>
      </c>
      <c r="D9" s="4">
        <v>19.571496576932219</v>
      </c>
    </row>
    <row r="10" spans="1:18" x14ac:dyDescent="0.25">
      <c r="A10" s="2" t="s">
        <v>227</v>
      </c>
      <c r="B10" s="4">
        <v>70.375</v>
      </c>
      <c r="C10" s="4">
        <v>40</v>
      </c>
      <c r="D10" s="4">
        <v>17.726406926181141</v>
      </c>
    </row>
    <row r="13" spans="1:18" x14ac:dyDescent="0.25">
      <c r="R13" t="s">
        <v>248</v>
      </c>
    </row>
    <row r="17" spans="1:2" x14ac:dyDescent="0.25">
      <c r="A17" s="1" t="s">
        <v>3</v>
      </c>
      <c r="B17" t="s">
        <v>228</v>
      </c>
    </row>
    <row r="18" spans="1:2" x14ac:dyDescent="0.25">
      <c r="A18" s="2" t="s">
        <v>26</v>
      </c>
      <c r="B18" s="4">
        <v>70.2</v>
      </c>
    </row>
    <row r="19" spans="1:2" x14ac:dyDescent="0.25">
      <c r="A19" s="2" t="s">
        <v>12</v>
      </c>
      <c r="B19" s="4">
        <v>72.521739130434781</v>
      </c>
    </row>
    <row r="20" spans="1:2" x14ac:dyDescent="0.25">
      <c r="A20" s="2" t="s">
        <v>17</v>
      </c>
      <c r="B20" s="4">
        <v>73.243902439024396</v>
      </c>
    </row>
    <row r="21" spans="1:2" x14ac:dyDescent="0.25">
      <c r="A21" s="2" t="s">
        <v>32</v>
      </c>
      <c r="B21" s="4">
        <v>67.75555555555556</v>
      </c>
    </row>
    <row r="22" spans="1:2" x14ac:dyDescent="0.25">
      <c r="A22" s="2" t="s">
        <v>23</v>
      </c>
      <c r="B22" s="4">
        <v>67.921052631578945</v>
      </c>
    </row>
    <row r="23" spans="1:2" x14ac:dyDescent="0.25">
      <c r="A23" s="2" t="s">
        <v>227</v>
      </c>
      <c r="B23" s="4">
        <v>70.375</v>
      </c>
    </row>
    <row r="31" spans="1:2" x14ac:dyDescent="0.25">
      <c r="A31" s="1" t="s">
        <v>4</v>
      </c>
      <c r="B31" t="s">
        <v>228</v>
      </c>
    </row>
    <row r="32" spans="1:2" x14ac:dyDescent="0.25">
      <c r="A32" s="2" t="s">
        <v>13</v>
      </c>
      <c r="B32" s="4">
        <v>71.614035087719301</v>
      </c>
    </row>
    <row r="33" spans="1:2" x14ac:dyDescent="0.25">
      <c r="A33" s="2" t="s">
        <v>18</v>
      </c>
      <c r="B33" s="4">
        <v>72.283950617283949</v>
      </c>
    </row>
    <row r="34" spans="1:2" x14ac:dyDescent="0.25">
      <c r="A34" s="2" t="s">
        <v>29</v>
      </c>
      <c r="B34" s="4">
        <v>66.741935483870961</v>
      </c>
    </row>
    <row r="35" spans="1:2" x14ac:dyDescent="0.25">
      <c r="A35" s="2" t="s">
        <v>227</v>
      </c>
      <c r="B35" s="4">
        <v>70.375</v>
      </c>
    </row>
    <row r="40" spans="1:2" x14ac:dyDescent="0.25">
      <c r="A40" s="1" t="s">
        <v>2</v>
      </c>
      <c r="B40" t="s">
        <v>228</v>
      </c>
    </row>
    <row r="41" spans="1:2" x14ac:dyDescent="0.25">
      <c r="A41" s="2" t="s">
        <v>11</v>
      </c>
      <c r="B41" s="4">
        <v>70.98</v>
      </c>
    </row>
    <row r="42" spans="1:2" x14ac:dyDescent="0.25">
      <c r="A42" s="2" t="s">
        <v>41</v>
      </c>
      <c r="B42" s="4">
        <v>73.291666666666671</v>
      </c>
    </row>
    <row r="43" spans="1:2" x14ac:dyDescent="0.25">
      <c r="A43" s="2" t="s">
        <v>28</v>
      </c>
      <c r="B43" s="4">
        <v>70.021276595744681</v>
      </c>
    </row>
    <row r="44" spans="1:2" x14ac:dyDescent="0.25">
      <c r="A44" s="2" t="s">
        <v>16</v>
      </c>
      <c r="B44" s="4">
        <v>67.581818181818178</v>
      </c>
    </row>
    <row r="45" spans="1:2" x14ac:dyDescent="0.25">
      <c r="A45" s="2" t="s">
        <v>227</v>
      </c>
      <c r="B45" s="4">
        <v>70.375</v>
      </c>
    </row>
    <row r="57" spans="1:2" x14ac:dyDescent="0.25">
      <c r="A57" s="1" t="s">
        <v>237</v>
      </c>
      <c r="B57" t="s">
        <v>228</v>
      </c>
    </row>
    <row r="58" spans="1:2" x14ac:dyDescent="0.25">
      <c r="A58" s="2" t="s">
        <v>238</v>
      </c>
      <c r="B58">
        <v>73.55</v>
      </c>
    </row>
    <row r="59" spans="1:2" x14ac:dyDescent="0.25">
      <c r="A59" s="2" t="s">
        <v>239</v>
      </c>
      <c r="B59">
        <v>72.666666666666671</v>
      </c>
    </row>
    <row r="60" spans="1:2" x14ac:dyDescent="0.25">
      <c r="A60" s="2" t="s">
        <v>227</v>
      </c>
      <c r="B60">
        <v>73.131578947368425</v>
      </c>
    </row>
    <row r="68" spans="1:2" x14ac:dyDescent="0.25">
      <c r="A68" s="3"/>
      <c r="B68" s="3"/>
    </row>
    <row r="73" spans="1:2" x14ac:dyDescent="0.25">
      <c r="A73" t="s">
        <v>237</v>
      </c>
      <c r="B73" t="s">
        <v>228</v>
      </c>
    </row>
    <row r="74" spans="1:2" x14ac:dyDescent="0.25">
      <c r="A74" t="s">
        <v>240</v>
      </c>
      <c r="B74">
        <v>73.8</v>
      </c>
    </row>
    <row r="75" spans="1:2" x14ac:dyDescent="0.25">
      <c r="A75" t="s">
        <v>241</v>
      </c>
      <c r="B75">
        <v>77.75</v>
      </c>
    </row>
    <row r="76" spans="1:2" x14ac:dyDescent="0.25">
      <c r="A76" t="s">
        <v>247</v>
      </c>
      <c r="B76">
        <v>65</v>
      </c>
    </row>
    <row r="77" spans="1:2" x14ac:dyDescent="0.25">
      <c r="A77" t="s">
        <v>242</v>
      </c>
      <c r="B77">
        <v>88</v>
      </c>
    </row>
    <row r="78" spans="1:2" x14ac:dyDescent="0.25">
      <c r="A78" t="s">
        <v>243</v>
      </c>
      <c r="B78">
        <v>61.285714285714285</v>
      </c>
    </row>
    <row r="79" spans="1:2" x14ac:dyDescent="0.25">
      <c r="A79" t="s">
        <v>244</v>
      </c>
      <c r="B79">
        <v>82.714285714285708</v>
      </c>
    </row>
    <row r="80" spans="1:2" x14ac:dyDescent="0.25">
      <c r="A80" t="s">
        <v>245</v>
      </c>
      <c r="B80">
        <v>86</v>
      </c>
    </row>
    <row r="81" spans="1:2" x14ac:dyDescent="0.25">
      <c r="A81" t="s">
        <v>246</v>
      </c>
      <c r="B81">
        <v>67.5</v>
      </c>
    </row>
  </sheetData>
  <autoFilter ref="A73:B81" xr:uid="{00000000-0001-0000-0300-000000000000}">
    <sortState xmlns:xlrd2="http://schemas.microsoft.com/office/spreadsheetml/2017/richdata2" ref="A74:B81">
      <sortCondition ref="A73:A81"/>
    </sortState>
  </autoFilter>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3A69D-300A-4D5E-BE94-5A2FA3F18CDF}">
  <dimension ref="A1"/>
  <sheetViews>
    <sheetView showGridLines="0" showRowColHeaders="0" tabSelected="1" topLeftCell="A17" zoomScale="77" zoomScaleNormal="77" workbookViewId="0">
      <selection activeCell="Y47" sqref="Y4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850EFE-4ACE-4C7E-AAA5-2153EDCDC1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Sheet13</vt:lpstr>
      <vt:lpstr>Dataset</vt:lpstr>
      <vt:lpstr>Sheet3</vt:lpstr>
      <vt:lpstr>Sheet4</vt:lpstr>
      <vt:lpstr>Table2</vt:lpstr>
      <vt:lpstr>Sheet2</vt:lpstr>
      <vt:lpstr>Pivot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2025-10-17T13:37:36Z</dcterms:created>
  <dcterms:modified xsi:type="dcterms:W3CDTF">2026-09-30T13:51:38Z</dcterms:modified>
</cp:coreProperties>
</file>